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Cash Flow" sheetId="4" state="visible" r:id="rId6"/>
    <sheet name="Balance She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<sst xmlns="http://schemas.openxmlformats.org/spreadsheetml/2006/main" count="174" uniqueCount="137">
  <si>
    <t xml:space="preserve">DunongAI</t>
  </si>
  <si>
    <t xml:space="preserve">An AI-Powered Adaptive Reading Companion</t>
  </si>
  <si>
    <t xml:space="preserve">FINANCIAL PLAN — YEAR 1 (MONTHLY)</t>
  </si>
  <si>
    <t xml:space="preserve">Income Statement  •  Cash Flow Statement  •  Balance Sheet</t>
  </si>
  <si>
    <t xml:space="preserve">All figures in Philippine Pesos (PHP / ₱) unless stated otherwise.</t>
  </si>
  <si>
    <t xml:space="preserve">Prepared by: Cantos, Labay, Gamboa, Delos Santos (Group 4)</t>
  </si>
  <si>
    <t xml:space="preserve">How to use this model:</t>
  </si>
  <si>
    <t xml:space="preserve">•  Blue cells are inputs/assumptions — change them to test scenarios.</t>
  </si>
  <si>
    <t xml:space="preserve">•  Black cells are formulas; green cells link across sheets. All totals recalculate automatically.</t>
  </si>
  <si>
    <t xml:space="preserve">•  Start on the 'Assumptions' tab, then review the three statements.</t>
  </si>
  <si>
    <t xml:space="preserve">Tabs:  Assumptions  ›  Income Statement  ›  Cash Flow  ›  Balance Sheet</t>
  </si>
  <si>
    <t xml:space="preserve">Assumptions &amp; Drivers</t>
  </si>
  <si>
    <t xml:space="preserve">DunongAI — Year 1 (Monthly). Blue = input. Edit these to drive every statement.</t>
  </si>
  <si>
    <t xml:space="preserve">PRICING &amp; UNIT ECONOMICS</t>
  </si>
  <si>
    <t xml:space="preserve">Parent freemium subscription price (₱ / month)</t>
  </si>
  <si>
    <t xml:space="preserve">BMC/SWOT: ₱99/mo parent tier</t>
  </si>
  <si>
    <t xml:space="preserve">DepEd institutional license (₱ / learner / year)</t>
  </si>
  <si>
    <t xml:space="preserve">SWOT Scenario A: ₱8/learner/yr ceiling</t>
  </si>
  <si>
    <t xml:space="preserve">AI inference cost — Claude Haiku (₱ / session)</t>
  </si>
  <si>
    <t xml:space="preserve">SWOT ST move: ≤₱0.08/session</t>
  </si>
  <si>
    <t xml:space="preserve">Avg reading sessions per active learner / month</t>
  </si>
  <si>
    <t xml:space="preserve">Roadmap: ≥3 sessions/week</t>
  </si>
  <si>
    <t xml:space="preserve">Content development cost (₱ / leveled story)</t>
  </si>
  <si>
    <t xml:space="preserve">TOWS WO move: ≤₱400/story</t>
  </si>
  <si>
    <t xml:space="preserve">Percentage / business tax (% of commercial revenue)</t>
  </si>
  <si>
    <t xml:space="preserve">PH non-VAT, &lt;₱3M receipts</t>
  </si>
  <si>
    <t xml:space="preserve">Equipment depreciation period (months)</t>
  </si>
  <si>
    <t xml:space="preserve">Platform-dev amortization period (months)</t>
  </si>
  <si>
    <t xml:space="preserve">CAPITAL &amp; ONE-TIME (Month 1)</t>
  </si>
  <si>
    <t xml:space="preserve">Founders' + pre-seed capital injected (₱)</t>
  </si>
  <si>
    <t xml:space="preserve">Pre-seed; seed round opens Q4</t>
  </si>
  <si>
    <t xml:space="preserve">Equipment capex — laptops/devices (₱)</t>
  </si>
  <si>
    <t xml:space="preserve">Capitalized platform development (₱)</t>
  </si>
  <si>
    <t xml:space="preserve">MVP build capitalized as intangible</t>
  </si>
  <si>
    <t xml:space="preserve">GRANT FUNDING — non-dilutive (₱)</t>
  </si>
  <si>
    <t xml:space="preserve">DOST PCIEERD grant — tranche 1 (received Month 4)</t>
  </si>
  <si>
    <t xml:space="preserve">SWOT: DOST PCIEERD</t>
  </si>
  <si>
    <t xml:space="preserve">USAID ABC+ grant — tranche 2 (received Month 9)</t>
  </si>
  <si>
    <t xml:space="preserve">SWOT: USAID ABC+</t>
  </si>
  <si>
    <t xml:space="preserve">MONTHLY OPERATING DRIVERS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</si>
  <si>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</si>
  <si>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</si>
  <si>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</si>
  <si>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</si>
  <si>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</si>
  <si>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</si>
  <si>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</si>
  <si>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</si>
  <si>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</si>
  <si>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</si>
  <si>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</si>
  <si>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</si>
  <si>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Total active learners on platform</t>
  </si>
  <si>
    <t xml:space="preserve">  of which: paying parents (₱99 tier)</t>
  </si>
  <si>
    <t xml:space="preserve">  of which: DepEd institutional learners (paid)</t>
  </si>
  <si>
    <t xml:space="preserve">Reading sessions (= active × sessions/learner)</t>
  </si>
  <si>
    <t xml:space="preserve">Income Statement (Profit &amp; Loss)</t>
  </si>
  <si>
    <t xml:space="preserve">DunongAI — Year 1, monthly (PHP). Revenues − expenses = net profit/(loss).</t>
  </si>
  <si>
    <t xml:space="preserve">Year 1 Total</t>
  </si>
  <si>
    <t xml:space="preserve">REVENUES</t>
  </si>
  <si>
    <t xml:space="preserve">Parent subscription revenue</t>
  </si>
  <si>
    <t xml:space="preserve">DepEd institutional license (recognized)</t>
  </si>
  <si>
    <t xml:space="preserve">Grant income (DOST / USAID, recognized)</t>
  </si>
  <si>
    <t xml:space="preserve">Total Revenue</t>
  </si>
  <si>
    <t xml:space="preserve">COST OF GOODS SOLD (direct service delivery)</t>
  </si>
  <si>
    <t xml:space="preserve">AI inference — Claude Haiku</t>
  </si>
  <si>
    <t xml:space="preserve">Content development (leveled stories)</t>
  </si>
  <si>
    <t xml:space="preserve">Total COGS</t>
  </si>
  <si>
    <t xml:space="preserve">GROSS PROFIT</t>
  </si>
  <si>
    <t xml:space="preserve">Gross profit margin</t>
  </si>
  <si>
    <t xml:space="preserve">OPERATING EXPENSES</t>
  </si>
  <si>
    <t xml:space="preserve">Salaries &amp; founder stipends</t>
  </si>
  <si>
    <t xml:space="preserve">Cloud infrastructure (Firebase/Vercel)</t>
  </si>
  <si>
    <t xml:space="preserve">Internet &amp; communications</t>
  </si>
  <si>
    <t xml:space="preserve">Software &amp; tools</t>
  </si>
  <si>
    <t xml:space="preserve">Marketing &amp; user acquisition</t>
  </si>
  <si>
    <t xml:space="preserve">Pilot program costs (incentives, travel)</t>
  </si>
  <si>
    <t xml:space="preserve">Research &amp; compliance (DPA/NPC/IRB/audit)</t>
  </si>
  <si>
    <t xml:space="preserve">Professional &amp; registration fees</t>
  </si>
  <si>
    <t xml:space="preserve">Depreciation — equipment</t>
  </si>
  <si>
    <t xml:space="preserve">Amortization — platform development</t>
  </si>
  <si>
    <t xml:space="preserve">Total Operating Expenses</t>
  </si>
  <si>
    <t xml:space="preserve">EBITDA</t>
  </si>
  <si>
    <t xml:space="preserve">EBIT (Operating income)</t>
  </si>
  <si>
    <t xml:space="preserve">Interest expense</t>
  </si>
  <si>
    <t xml:space="preserve">Pre-tax income / (loss)</t>
  </si>
  <si>
    <t xml:space="preserve">Percentage / business tax</t>
  </si>
  <si>
    <t xml:space="preserve">NET PROFIT / (LOSS)</t>
  </si>
  <si>
    <t xml:space="preserve">Net profit margin</t>
  </si>
  <si>
    <t xml:space="preserve">Cash Flow Statement</t>
  </si>
  <si>
    <t xml:space="preserve">DunongAI — Year 1, monthly (PHP). Direct method: cash in − cash out.</t>
  </si>
  <si>
    <t xml:space="preserve">OPERATING ACTIVITIES</t>
  </si>
  <si>
    <t xml:space="preserve">Collections — parent subscriptions</t>
  </si>
  <si>
    <t xml:space="preserve">Collections — DepEd license (annual upfront)</t>
  </si>
  <si>
    <t xml:space="preserve">Grant receipts (DOST / USAID)</t>
  </si>
  <si>
    <t xml:space="preserve">COGS paid</t>
  </si>
  <si>
    <t xml:space="preserve">Operating expenses paid (excl. D&amp;A)</t>
  </si>
  <si>
    <t xml:space="preserve">Taxes paid</t>
  </si>
  <si>
    <t xml:space="preserve">Net cash from operations</t>
  </si>
  <si>
    <t xml:space="preserve">INVESTING ACTIVITIES</t>
  </si>
  <si>
    <t xml:space="preserve">Equipment purchase</t>
  </si>
  <si>
    <t xml:space="preserve">Capitalized platform development</t>
  </si>
  <si>
    <t xml:space="preserve">Net cash from investing</t>
  </si>
  <si>
    <t xml:space="preserve">FINANCING ACTIVITIES</t>
  </si>
  <si>
    <t xml:space="preserve">Founders' + pre-seed capital</t>
  </si>
  <si>
    <t xml:space="preserve">Net cash from financing</t>
  </si>
  <si>
    <t xml:space="preserve">Net change in cash</t>
  </si>
  <si>
    <t xml:space="preserve">Opening cash balance</t>
  </si>
  <si>
    <t xml:space="preserve">Closing cash balance</t>
  </si>
  <si>
    <t xml:space="preserve">Balance Sheet</t>
  </si>
  <si>
    <t xml:space="preserve">DunongAI — end of each month, Year 1 (PHP). Assets = Liabilities + Equity.</t>
  </si>
  <si>
    <t xml:space="preserve">As of end of</t>
  </si>
  <si>
    <t xml:space="preserve">ASSETS</t>
  </si>
  <si>
    <t xml:space="preserve">Current assets</t>
  </si>
  <si>
    <t xml:space="preserve">   Cash &amp; cash equivalents</t>
  </si>
  <si>
    <t xml:space="preserve">   Accounts receivable</t>
  </si>
  <si>
    <t xml:space="preserve">Total current assets</t>
  </si>
  <si>
    <t xml:space="preserve">Non-current assets</t>
  </si>
  <si>
    <t xml:space="preserve">   Equipment (at cost)</t>
  </si>
  <si>
    <t xml:space="preserve">   Less: accumulated depreciation</t>
  </si>
  <si>
    <t xml:space="preserve">   Equipment, net</t>
  </si>
  <si>
    <t xml:space="preserve">   Platform development (at cost)</t>
  </si>
  <si>
    <t xml:space="preserve">   Less: accumulated amortization</t>
  </si>
  <si>
    <t xml:space="preserve">   Platform development, net</t>
  </si>
  <si>
    <t xml:space="preserve">Total non-current assets</t>
  </si>
  <si>
    <t xml:space="preserve">TOTAL ASSETS</t>
  </si>
  <si>
    <t xml:space="preserve">LIABILITIES</t>
  </si>
  <si>
    <t xml:space="preserve">Current liabilities</t>
  </si>
  <si>
    <t xml:space="preserve">   Accounts payable</t>
  </si>
  <si>
    <t xml:space="preserve">   Deferred revenue (DepEd unearned)</t>
  </si>
  <si>
    <t xml:space="preserve">Total liabilities</t>
  </si>
  <si>
    <t xml:space="preserve">EQUITY</t>
  </si>
  <si>
    <t xml:space="preserve">   Paid-in capital</t>
  </si>
  <si>
    <t xml:space="preserve">   Retained earnings / (accumulated deficit)</t>
  </si>
  <si>
    <t xml:space="preserve">Total equity</t>
  </si>
  <si>
    <t xml:space="preserve">TOTAL LIABILITIES &amp; EQUITY</t>
  </si>
  <si>
    <t xml:space="preserve">Check (Assets − L&amp;E, must = 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</si>
</sst>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0;\(#,##0.00\);\-"/>
    <numFmt numFmtId="167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F3864"/>
      <name val="Arial"/>
      <family val="0"/>
      <charset val="1"/>
    </font>
    <font>
      <i val="true"/>
      <sz val="13"/>
      <color rgb="FF40404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33.8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9.7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1" customFormat="false" ht="15" hidden="false" customHeight="false" outlineLevel="0" collapsed="false">
      <c r="B11" s="5" t="s">
        <v>6</v>
      </c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6" customFormat="false" ht="15" hidden="false" customHeight="false" outlineLevel="0" collapsed="false">
      <c r="B16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6" t="s">
        <v>11</v>
      </c>
    </row>
    <row r="2" customFormat="false" ht="15" hidden="false" customHeight="false" outlineLevel="0" collapsed="false">
      <c r="A2" s="7" t="s">
        <v>12</v>
      </c>
    </row>
    <row r="4" customFormat="false" ht="15" hidden="false" customHeight="false" outlineLevel="0" collapsed="false">
      <c r="A4" s="8" t="s">
        <v>13</v>
      </c>
    </row>
    <row r="5" customFormat="false" ht="15" hidden="false" customHeight="false" outlineLevel="0" collapsed="false">
      <c r="A5" s="9" t="s">
        <v>14</v>
      </c>
      <c r="C5" s="10" t="n">
        <v>99</v>
      </c>
      <c r="D5" s="11" t="s">
        <v>15</v>
      </c>
    </row>
    <row r="6" customFormat="false" ht="15" hidden="false" customHeight="false" outlineLevel="0" collapsed="false">
      <c r="A6" s="9" t="s">
        <v>16</v>
      </c>
      <c r="C6" s="10" t="n">
        <v>8</v>
      </c>
      <c r="D6" s="11" t="s">
        <v>17</v>
      </c>
    </row>
    <row r="7" customFormat="false" ht="15" hidden="false" customHeight="false" outlineLevel="0" collapsed="false">
      <c r="A7" s="9" t="s">
        <v>18</v>
      </c>
      <c r="C7" s="12" t="n">
        <v>0.08</v>
      </c>
      <c r="D7" s="11" t="s">
        <v>19</v>
      </c>
    </row>
    <row r="8" customFormat="false" ht="15" hidden="false" customHeight="false" outlineLevel="0" collapsed="false">
      <c r="A8" s="9" t="s">
        <v>20</v>
      </c>
      <c r="C8" s="10" t="n">
        <v>10</v>
      </c>
      <c r="D8" s="11" t="s">
        <v>21</v>
      </c>
    </row>
    <row r="9" customFormat="false" ht="15" hidden="false" customHeight="false" outlineLevel="0" collapsed="false">
      <c r="A9" s="9" t="s">
        <v>22</v>
      </c>
      <c r="C9" s="10" t="n">
        <v>400</v>
      </c>
      <c r="D9" s="11" t="s">
        <v>23</v>
      </c>
    </row>
    <row r="10" customFormat="false" ht="15" hidden="false" customHeight="false" outlineLevel="0" collapsed="false">
      <c r="A10" s="9" t="s">
        <v>24</v>
      </c>
      <c r="C10" s="13" t="n">
        <v>0.03</v>
      </c>
      <c r="D10" s="11" t="s">
        <v>25</v>
      </c>
    </row>
    <row r="11" customFormat="false" ht="15" hidden="false" customHeight="false" outlineLevel="0" collapsed="false">
      <c r="A11" s="9" t="s">
        <v>26</v>
      </c>
      <c r="C11" s="10" t="n">
        <v>36</v>
      </c>
    </row>
    <row r="12" customFormat="false" ht="15" hidden="false" customHeight="false" outlineLevel="0" collapsed="false">
      <c r="A12" s="9" t="s">
        <v>27</v>
      </c>
      <c r="C12" s="10" t="n">
        <v>36</v>
      </c>
    </row>
    <row r="14" customFormat="false" ht="15" hidden="false" customHeight="false" outlineLevel="0" collapsed="false">
      <c r="A14" s="8" t="s">
        <v>28</v>
      </c>
    </row>
    <row r="15" customFormat="false" ht="15" hidden="false" customHeight="false" outlineLevel="0" collapsed="false">
      <c r="A15" s="9" t="s">
        <v>29</v>
      </c>
      <c r="C15" s="10" t="n">
        <v>1500000</v>
      </c>
      <c r="D15" s="11" t="s">
        <v>30</v>
      </c>
    </row>
    <row r="16" customFormat="false" ht="15" hidden="false" customHeight="false" outlineLevel="0" collapsed="false">
      <c r="A16" s="9" t="s">
        <v>31</v>
      </c>
      <c r="C16" s="10" t="n">
        <v>150000</v>
      </c>
    </row>
    <row r="17" customFormat="false" ht="15" hidden="false" customHeight="false" outlineLevel="0" collapsed="false">
      <c r="A17" s="9" t="s">
        <v>32</v>
      </c>
      <c r="C17" s="10" t="n">
        <v>300000</v>
      </c>
      <c r="D17" s="11" t="s">
        <v>33</v>
      </c>
    </row>
    <row r="19" customFormat="false" ht="15" hidden="false" customHeight="false" outlineLevel="0" collapsed="false">
      <c r="A19" s="8" t="s">
        <v>34</v>
      </c>
    </row>
    <row r="20" customFormat="false" ht="15" hidden="false" customHeight="false" outlineLevel="0" collapsed="false">
      <c r="A20" s="9" t="s">
        <v>35</v>
      </c>
      <c r="C20" s="10" t="n">
        <v>400000</v>
      </c>
      <c r="D20" s="11" t="s">
        <v>36</v>
      </c>
    </row>
    <row r="21" customFormat="false" ht="15" hidden="false" customHeight="false" outlineLevel="0" collapsed="false">
      <c r="A21" s="9" t="s">
        <v>37</v>
      </c>
      <c r="C21" s="10" t="n">
        <v>400000</v>
      </c>
      <c r="D21" s="11" t="s">
        <v>38</v>
      </c>
    </row>
    <row r="24" customFormat="false" ht="15" hidden="false" customHeight="false" outlineLevel="0" collapsed="false">
      <c r="A24" s="14" t="s">
        <v>39</v>
      </c>
      <c r="B24" s="15" t="s">
        <v>40</v>
      </c>
      <c r="C24" s="15" t="s">
        <v>41</v>
      </c>
      <c r="D24" s="15" t="s">
        <v>42</v>
      </c>
      <c r="E24" s="15" t="s">
        <v>43</v>
      </c>
      <c r="F24" s="15" t="s">
        <v>44</v>
      </c>
      <c r="G24" s="15" t="s">
        <v>45</v>
      </c>
      <c r="H24" s="15" t="s">
        <v>46</v>
      </c>
      <c r="I24" s="15" t="s">
        <v>47</v>
      </c>
      <c r="J24" s="15" t="s">
        <v>48</v>
      </c>
      <c r="K24" s="15" t="s">
        <v>49</v>
      </c>
      <c r="L24" s="15" t="s">
        <v>50</v>
      </c>
      <c r="M24" s="15" t="s">
        <v>51</v>
      </c>
      <c r="N24" s="16"/>
    </row>
    <row r="25" customFormat="false" ht="15" hidden="false" customHeight="false" outlineLevel="0" collapsed="false">
      <c r="A25" s="9" t="s">
        <v>52</v>
      </c>
      <c r="B25" s="10" t="n">
        <v>200</v>
      </c>
      <c r="C25" s="10" t="n">
        <v>300</v>
      </c>
      <c r="D25" s="10" t="n">
        <v>450</v>
      </c>
      <c r="E25" s="10" t="n">
        <v>650</v>
      </c>
      <c r="F25" s="10" t="n">
        <v>1000</v>
      </c>
      <c r="G25" s="10" t="n">
        <v>1500</v>
      </c>
      <c r="H25" s="10" t="n">
        <v>3000</v>
      </c>
      <c r="I25" s="10" t="n">
        <v>5000</v>
      </c>
      <c r="J25" s="10" t="n">
        <v>6500</v>
      </c>
      <c r="K25" s="10" t="n">
        <v>12000</v>
      </c>
      <c r="L25" s="10" t="n">
        <v>14000</v>
      </c>
      <c r="M25" s="10" t="n">
        <v>16000</v>
      </c>
    </row>
    <row r="26" customFormat="false" ht="15" hidden="false" customHeight="false" outlineLevel="0" collapsed="false">
      <c r="A26" s="9" t="s">
        <v>53</v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120</v>
      </c>
      <c r="I26" s="10" t="n">
        <v>250</v>
      </c>
      <c r="J26" s="10" t="n">
        <v>420</v>
      </c>
      <c r="K26" s="10" t="n">
        <v>600</v>
      </c>
      <c r="L26" s="10" t="n">
        <v>800</v>
      </c>
      <c r="M26" s="10" t="n">
        <v>1010</v>
      </c>
    </row>
    <row r="27" customFormat="false" ht="15" hidden="false" customHeight="false" outlineLevel="0" collapsed="false">
      <c r="A27" s="9" t="s">
        <v>54</v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5000</v>
      </c>
      <c r="L27" s="10" t="n">
        <v>5000</v>
      </c>
      <c r="M27" s="10" t="n">
        <v>5000</v>
      </c>
    </row>
    <row r="28" customFormat="false" ht="15" hidden="false" customHeight="false" outlineLevel="0" collapsed="false">
      <c r="A28" s="9" t="s">
        <v>55</v>
      </c>
      <c r="B28" s="17" t="n">
        <f aca="false">B25*$C$8</f>
        <v>2000</v>
      </c>
      <c r="C28" s="17" t="n">
        <f aca="false">C25*$C$8</f>
        <v>3000</v>
      </c>
      <c r="D28" s="17" t="n">
        <f aca="false">D25*$C$8</f>
        <v>4500</v>
      </c>
      <c r="E28" s="17" t="n">
        <f aca="false">E25*$C$8</f>
        <v>6500</v>
      </c>
      <c r="F28" s="17" t="n">
        <f aca="false">F25*$C$8</f>
        <v>10000</v>
      </c>
      <c r="G28" s="17" t="n">
        <f aca="false">G25*$C$8</f>
        <v>15000</v>
      </c>
      <c r="H28" s="17" t="n">
        <f aca="false">H25*$C$8</f>
        <v>30000</v>
      </c>
      <c r="I28" s="17" t="n">
        <f aca="false">I25*$C$8</f>
        <v>50000</v>
      </c>
      <c r="J28" s="17" t="n">
        <f aca="false">J25*$C$8</f>
        <v>65000</v>
      </c>
      <c r="K28" s="17" t="n">
        <f aca="false">K25*$C$8</f>
        <v>120000</v>
      </c>
      <c r="L28" s="17" t="n">
        <f aca="false">L25*$C$8</f>
        <v>140000</v>
      </c>
      <c r="M28" s="17" t="n">
        <f aca="false">M25*$C$8</f>
        <v>160000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6" t="s">
        <v>56</v>
      </c>
    </row>
    <row r="2" customFormat="false" ht="15" hidden="false" customHeight="false" outlineLevel="0" collapsed="false">
      <c r="A2" s="7" t="s">
        <v>57</v>
      </c>
    </row>
    <row r="3" customFormat="false" ht="15" hidden="false" customHeight="false" outlineLevel="0" collapsed="false">
      <c r="A3" s="14"/>
      <c r="B3" s="15" t="s">
        <v>40</v>
      </c>
      <c r="C3" s="15" t="s">
        <v>41</v>
      </c>
      <c r="D3" s="15" t="s">
        <v>42</v>
      </c>
      <c r="E3" s="15" t="s">
        <v>43</v>
      </c>
      <c r="F3" s="15" t="s">
        <v>44</v>
      </c>
      <c r="G3" s="15" t="s">
        <v>45</v>
      </c>
      <c r="H3" s="15" t="s">
        <v>46</v>
      </c>
      <c r="I3" s="15" t="s">
        <v>47</v>
      </c>
      <c r="J3" s="15" t="s">
        <v>48</v>
      </c>
      <c r="K3" s="15" t="s">
        <v>49</v>
      </c>
      <c r="L3" s="15" t="s">
        <v>50</v>
      </c>
      <c r="M3" s="15" t="s">
        <v>51</v>
      </c>
      <c r="N3" s="15" t="s">
        <v>58</v>
      </c>
    </row>
    <row r="4" customFormat="false" ht="15" hidden="false" customHeight="false" outlineLevel="0" collapsed="false">
      <c r="A4" s="18" t="s">
        <v>59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customFormat="false" ht="15" hidden="false" customHeight="false" outlineLevel="0" collapsed="false">
      <c r="A5" s="9" t="s">
        <v>60</v>
      </c>
      <c r="B5" s="20" t="n">
        <f aca="false">Assumptions!B26*Assumptions!$C$5</f>
        <v>0</v>
      </c>
      <c r="C5" s="20" t="n">
        <f aca="false">Assumptions!C26*Assumptions!$C$5</f>
        <v>0</v>
      </c>
      <c r="D5" s="20" t="n">
        <f aca="false">Assumptions!D26*Assumptions!$C$5</f>
        <v>0</v>
      </c>
      <c r="E5" s="20" t="n">
        <f aca="false">Assumptions!E26*Assumptions!$C$5</f>
        <v>0</v>
      </c>
      <c r="F5" s="20" t="n">
        <f aca="false">Assumptions!F26*Assumptions!$C$5</f>
        <v>0</v>
      </c>
      <c r="G5" s="20" t="n">
        <f aca="false">Assumptions!G26*Assumptions!$C$5</f>
        <v>0</v>
      </c>
      <c r="H5" s="20" t="n">
        <f aca="false">Assumptions!H26*Assumptions!$C$5</f>
        <v>11880</v>
      </c>
      <c r="I5" s="20" t="n">
        <f aca="false">Assumptions!I26*Assumptions!$C$5</f>
        <v>24750</v>
      </c>
      <c r="J5" s="20" t="n">
        <f aca="false">Assumptions!J26*Assumptions!$C$5</f>
        <v>41580</v>
      </c>
      <c r="K5" s="20" t="n">
        <f aca="false">Assumptions!K26*Assumptions!$C$5</f>
        <v>59400</v>
      </c>
      <c r="L5" s="20" t="n">
        <f aca="false">Assumptions!L26*Assumptions!$C$5</f>
        <v>79200</v>
      </c>
      <c r="M5" s="20" t="n">
        <f aca="false">Assumptions!M26*Assumptions!$C$5</f>
        <v>99990</v>
      </c>
      <c r="N5" s="17" t="n">
        <f aca="false">SUM(B5:M5)</f>
        <v>316800</v>
      </c>
    </row>
    <row r="6" customFormat="false" ht="15" hidden="false" customHeight="false" outlineLevel="0" collapsed="false">
      <c r="A6" s="9" t="s">
        <v>61</v>
      </c>
      <c r="B6" s="20" t="n">
        <f aca="false">Assumptions!B27*Assumptions!$C$6/12</f>
        <v>0</v>
      </c>
      <c r="C6" s="20" t="n">
        <f aca="false">Assumptions!C27*Assumptions!$C$6/12</f>
        <v>0</v>
      </c>
      <c r="D6" s="20" t="n">
        <f aca="false">Assumptions!D27*Assumptions!$C$6/12</f>
        <v>0</v>
      </c>
      <c r="E6" s="20" t="n">
        <f aca="false">Assumptions!E27*Assumptions!$C$6/12</f>
        <v>0</v>
      </c>
      <c r="F6" s="20" t="n">
        <f aca="false">Assumptions!F27*Assumptions!$C$6/12</f>
        <v>0</v>
      </c>
      <c r="G6" s="20" t="n">
        <f aca="false">Assumptions!G27*Assumptions!$C$6/12</f>
        <v>0</v>
      </c>
      <c r="H6" s="20" t="n">
        <f aca="false">Assumptions!H27*Assumptions!$C$6/12</f>
        <v>0</v>
      </c>
      <c r="I6" s="20" t="n">
        <f aca="false">Assumptions!I27*Assumptions!$C$6/12</f>
        <v>0</v>
      </c>
      <c r="J6" s="20" t="n">
        <f aca="false">Assumptions!J27*Assumptions!$C$6/12</f>
        <v>0</v>
      </c>
      <c r="K6" s="20" t="n">
        <f aca="false">Assumptions!K27*Assumptions!$C$6/12</f>
        <v>3333.33333333333</v>
      </c>
      <c r="L6" s="20" t="n">
        <f aca="false">Assumptions!L27*Assumptions!$C$6/12</f>
        <v>3333.33333333333</v>
      </c>
      <c r="M6" s="20" t="n">
        <f aca="false">Assumptions!M27*Assumptions!$C$6/12</f>
        <v>3333.33333333333</v>
      </c>
      <c r="N6" s="17" t="n">
        <f aca="false">SUM(B6:M6)</f>
        <v>10000</v>
      </c>
    </row>
    <row r="7" customFormat="false" ht="15" hidden="false" customHeight="false" outlineLevel="0" collapsed="false">
      <c r="A7" s="9" t="s">
        <v>62</v>
      </c>
      <c r="B7" s="20" t="n">
        <v>0</v>
      </c>
      <c r="C7" s="20" t="n">
        <v>0</v>
      </c>
      <c r="D7" s="20" t="n">
        <v>0</v>
      </c>
      <c r="E7" s="20" t="n">
        <f aca="false">Assumptions!$C$20</f>
        <v>400000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f aca="false">Assumptions!$C$21</f>
        <v>400000</v>
      </c>
      <c r="K7" s="20" t="n">
        <v>0</v>
      </c>
      <c r="L7" s="20" t="n">
        <v>0</v>
      </c>
      <c r="M7" s="20" t="n">
        <v>0</v>
      </c>
      <c r="N7" s="17" t="n">
        <f aca="false">SUM(B7:M7)</f>
        <v>800000</v>
      </c>
    </row>
    <row r="8" customFormat="false" ht="15" hidden="false" customHeight="false" outlineLevel="0" collapsed="false">
      <c r="A8" s="21" t="s">
        <v>63</v>
      </c>
      <c r="B8" s="22" t="n">
        <f aca="false">SUM(B5:B7)</f>
        <v>0</v>
      </c>
      <c r="C8" s="22" t="n">
        <f aca="false">SUM(C5:C7)</f>
        <v>0</v>
      </c>
      <c r="D8" s="22" t="n">
        <f aca="false">SUM(D5:D7)</f>
        <v>0</v>
      </c>
      <c r="E8" s="22" t="n">
        <f aca="false">SUM(E5:E7)</f>
        <v>400000</v>
      </c>
      <c r="F8" s="22" t="n">
        <f aca="false">SUM(F5:F7)</f>
        <v>0</v>
      </c>
      <c r="G8" s="22" t="n">
        <f aca="false">SUM(G5:G7)</f>
        <v>0</v>
      </c>
      <c r="H8" s="22" t="n">
        <f aca="false">SUM(H5:H7)</f>
        <v>11880</v>
      </c>
      <c r="I8" s="22" t="n">
        <f aca="false">SUM(I5:I7)</f>
        <v>24750</v>
      </c>
      <c r="J8" s="22" t="n">
        <f aca="false">SUM(J5:J7)</f>
        <v>441580</v>
      </c>
      <c r="K8" s="22" t="n">
        <f aca="false">SUM(K5:K7)</f>
        <v>62733.3333333333</v>
      </c>
      <c r="L8" s="22" t="n">
        <f aca="false">SUM(L5:L7)</f>
        <v>82533.3333333333</v>
      </c>
      <c r="M8" s="22" t="n">
        <f aca="false">SUM(M5:M7)</f>
        <v>103323.333333333</v>
      </c>
      <c r="N8" s="22" t="n">
        <f aca="false">SUM(B8:M8)</f>
        <v>1126800</v>
      </c>
    </row>
    <row r="10" customFormat="false" ht="15" hidden="false" customHeight="false" outlineLevel="0" collapsed="false">
      <c r="A10" s="18" t="s">
        <v>64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customFormat="false" ht="15" hidden="false" customHeight="false" outlineLevel="0" collapsed="false">
      <c r="A11" s="9" t="s">
        <v>65</v>
      </c>
      <c r="B11" s="20" t="n">
        <f aca="false">Assumptions!B28*Assumptions!$C$7</f>
        <v>160</v>
      </c>
      <c r="C11" s="20" t="n">
        <f aca="false">Assumptions!C28*Assumptions!$C$7</f>
        <v>240</v>
      </c>
      <c r="D11" s="20" t="n">
        <f aca="false">Assumptions!D28*Assumptions!$C$7</f>
        <v>360</v>
      </c>
      <c r="E11" s="20" t="n">
        <f aca="false">Assumptions!E28*Assumptions!$C$7</f>
        <v>520</v>
      </c>
      <c r="F11" s="20" t="n">
        <f aca="false">Assumptions!F28*Assumptions!$C$7</f>
        <v>800</v>
      </c>
      <c r="G11" s="20" t="n">
        <f aca="false">Assumptions!G28*Assumptions!$C$7</f>
        <v>1200</v>
      </c>
      <c r="H11" s="20" t="n">
        <f aca="false">Assumptions!H28*Assumptions!$C$7</f>
        <v>2400</v>
      </c>
      <c r="I11" s="20" t="n">
        <f aca="false">Assumptions!I28*Assumptions!$C$7</f>
        <v>4000</v>
      </c>
      <c r="J11" s="20" t="n">
        <f aca="false">Assumptions!J28*Assumptions!$C$7</f>
        <v>5200</v>
      </c>
      <c r="K11" s="20" t="n">
        <f aca="false">Assumptions!K28*Assumptions!$C$7</f>
        <v>9600</v>
      </c>
      <c r="L11" s="20" t="n">
        <f aca="false">Assumptions!L28*Assumptions!$C$7</f>
        <v>11200</v>
      </c>
      <c r="M11" s="20" t="n">
        <f aca="false">Assumptions!M28*Assumptions!$C$7</f>
        <v>12800</v>
      </c>
      <c r="N11" s="17" t="n">
        <f aca="false">SUM(B11:M11)</f>
        <v>48480</v>
      </c>
    </row>
    <row r="12" customFormat="false" ht="15" hidden="false" customHeight="false" outlineLevel="0" collapsed="false">
      <c r="A12" s="9" t="s">
        <v>66</v>
      </c>
      <c r="B12" s="10" t="n">
        <v>20000</v>
      </c>
      <c r="C12" s="10" t="n">
        <v>20000</v>
      </c>
      <c r="D12" s="10" t="n">
        <v>12000</v>
      </c>
      <c r="E12" s="10" t="n">
        <v>8000</v>
      </c>
      <c r="F12" s="10" t="n">
        <v>2000</v>
      </c>
      <c r="G12" s="10" t="n">
        <v>2000</v>
      </c>
      <c r="H12" s="10" t="n">
        <v>2000</v>
      </c>
      <c r="I12" s="10" t="n">
        <v>2000</v>
      </c>
      <c r="J12" s="10" t="n">
        <v>2000</v>
      </c>
      <c r="K12" s="10" t="n">
        <v>2000</v>
      </c>
      <c r="L12" s="10" t="n">
        <v>2000</v>
      </c>
      <c r="M12" s="10" t="n">
        <v>2000</v>
      </c>
      <c r="N12" s="17" t="n">
        <f aca="false">SUM(B12:M12)</f>
        <v>76000</v>
      </c>
    </row>
    <row r="13" customFormat="false" ht="15" hidden="false" customHeight="false" outlineLevel="0" collapsed="false">
      <c r="A13" s="21" t="s">
        <v>67</v>
      </c>
      <c r="B13" s="22" t="n">
        <f aca="false">SUM(B11:B12)</f>
        <v>20160</v>
      </c>
      <c r="C13" s="22" t="n">
        <f aca="false">SUM(C11:C12)</f>
        <v>20240</v>
      </c>
      <c r="D13" s="22" t="n">
        <f aca="false">SUM(D11:D12)</f>
        <v>12360</v>
      </c>
      <c r="E13" s="22" t="n">
        <f aca="false">SUM(E11:E12)</f>
        <v>8520</v>
      </c>
      <c r="F13" s="22" t="n">
        <f aca="false">SUM(F11:F12)</f>
        <v>2800</v>
      </c>
      <c r="G13" s="22" t="n">
        <f aca="false">SUM(G11:G12)</f>
        <v>3200</v>
      </c>
      <c r="H13" s="22" t="n">
        <f aca="false">SUM(H11:H12)</f>
        <v>4400</v>
      </c>
      <c r="I13" s="22" t="n">
        <f aca="false">SUM(I11:I12)</f>
        <v>6000</v>
      </c>
      <c r="J13" s="22" t="n">
        <f aca="false">SUM(J11:J12)</f>
        <v>7200</v>
      </c>
      <c r="K13" s="22" t="n">
        <f aca="false">SUM(K11:K12)</f>
        <v>11600</v>
      </c>
      <c r="L13" s="22" t="n">
        <f aca="false">SUM(L11:L12)</f>
        <v>13200</v>
      </c>
      <c r="M13" s="22" t="n">
        <f aca="false">SUM(M11:M12)</f>
        <v>14800</v>
      </c>
      <c r="N13" s="22" t="n">
        <f aca="false">SUM(B13:M13)</f>
        <v>124480</v>
      </c>
    </row>
    <row r="14" customFormat="false" ht="15" hidden="false" customHeight="false" outlineLevel="0" collapsed="false">
      <c r="A14" s="21" t="s">
        <v>68</v>
      </c>
      <c r="B14" s="22" t="n">
        <f aca="false">B8-B13</f>
        <v>-20160</v>
      </c>
      <c r="C14" s="22" t="n">
        <f aca="false">C8-C13</f>
        <v>-20240</v>
      </c>
      <c r="D14" s="22" t="n">
        <f aca="false">D8-D13</f>
        <v>-12360</v>
      </c>
      <c r="E14" s="22" t="n">
        <f aca="false">E8-E13</f>
        <v>391480</v>
      </c>
      <c r="F14" s="22" t="n">
        <f aca="false">F8-F13</f>
        <v>-2800</v>
      </c>
      <c r="G14" s="22" t="n">
        <f aca="false">G8-G13</f>
        <v>-3200</v>
      </c>
      <c r="H14" s="22" t="n">
        <f aca="false">H8-H13</f>
        <v>7480</v>
      </c>
      <c r="I14" s="22" t="n">
        <f aca="false">I8-I13</f>
        <v>18750</v>
      </c>
      <c r="J14" s="22" t="n">
        <f aca="false">J8-J13</f>
        <v>434380</v>
      </c>
      <c r="K14" s="22" t="n">
        <f aca="false">K8-K13</f>
        <v>51133.3333333333</v>
      </c>
      <c r="L14" s="22" t="n">
        <f aca="false">L8-L13</f>
        <v>69333.3333333333</v>
      </c>
      <c r="M14" s="22" t="n">
        <f aca="false">M8-M13</f>
        <v>88523.3333333333</v>
      </c>
      <c r="N14" s="22" t="n">
        <f aca="false">SUM(B14:M14)</f>
        <v>1002320</v>
      </c>
    </row>
    <row r="15" customFormat="false" ht="15" hidden="false" customHeight="false" outlineLevel="0" collapsed="false">
      <c r="A15" s="23" t="s">
        <v>69</v>
      </c>
      <c r="B15" s="24" t="n">
        <f aca="false">IF(B8=0,0,B14/B8)</f>
        <v>0</v>
      </c>
      <c r="C15" s="24" t="n">
        <f aca="false">IF(C8=0,0,C14/C8)</f>
        <v>0</v>
      </c>
      <c r="D15" s="24" t="n">
        <f aca="false">IF(D8=0,0,D14/D8)</f>
        <v>0</v>
      </c>
      <c r="E15" s="24" t="n">
        <f aca="false">IF(E8=0,0,E14/E8)</f>
        <v>0.9787</v>
      </c>
      <c r="F15" s="24" t="n">
        <f aca="false">IF(F8=0,0,F14/F8)</f>
        <v>0</v>
      </c>
      <c r="G15" s="24" t="n">
        <f aca="false">IF(G8=0,0,G14/G8)</f>
        <v>0</v>
      </c>
      <c r="H15" s="24" t="n">
        <f aca="false">IF(H8=0,0,H14/H8)</f>
        <v>0.62962962962963</v>
      </c>
      <c r="I15" s="24" t="n">
        <f aca="false">IF(I8=0,0,I14/I8)</f>
        <v>0.757575757575758</v>
      </c>
      <c r="J15" s="24" t="n">
        <f aca="false">IF(J8=0,0,J14/J8)</f>
        <v>0.983694913718919</v>
      </c>
      <c r="K15" s="24" t="n">
        <f aca="false">IF(K8=0,0,K14/K8)</f>
        <v>0.815090329436769</v>
      </c>
      <c r="L15" s="24" t="n">
        <f aca="false">IF(L8=0,0,L14/L8)</f>
        <v>0.840064620355412</v>
      </c>
      <c r="M15" s="24" t="n">
        <f aca="false">IF(M8=0,0,M14/M8)</f>
        <v>0.856760331644998</v>
      </c>
      <c r="N15" s="24" t="n">
        <f aca="false">IF(N8=0,0,N14/N8)</f>
        <v>0.889527866524672</v>
      </c>
    </row>
    <row r="17" customFormat="false" ht="15" hidden="false" customHeight="false" outlineLevel="0" collapsed="false">
      <c r="A17" s="18" t="s">
        <v>70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customFormat="false" ht="15" hidden="false" customHeight="false" outlineLevel="0" collapsed="false">
      <c r="A18" s="9" t="s">
        <v>71</v>
      </c>
      <c r="B18" s="10" t="n">
        <v>40000</v>
      </c>
      <c r="C18" s="10" t="n">
        <v>40000</v>
      </c>
      <c r="D18" s="10" t="n">
        <v>40000</v>
      </c>
      <c r="E18" s="10" t="n">
        <v>60000</v>
      </c>
      <c r="F18" s="10" t="n">
        <v>60000</v>
      </c>
      <c r="G18" s="10" t="n">
        <v>60000</v>
      </c>
      <c r="H18" s="10" t="n">
        <v>100000</v>
      </c>
      <c r="I18" s="10" t="n">
        <v>100000</v>
      </c>
      <c r="J18" s="10" t="n">
        <v>100000</v>
      </c>
      <c r="K18" s="10" t="n">
        <v>100000</v>
      </c>
      <c r="L18" s="10" t="n">
        <v>100000</v>
      </c>
      <c r="M18" s="10" t="n">
        <v>100000</v>
      </c>
      <c r="N18" s="17" t="n">
        <f aca="false">SUM(B18:M18)</f>
        <v>900000</v>
      </c>
    </row>
    <row r="19" customFormat="false" ht="15" hidden="false" customHeight="false" outlineLevel="0" collapsed="false">
      <c r="A19" s="9" t="s">
        <v>72</v>
      </c>
      <c r="B19" s="10" t="n">
        <v>3000</v>
      </c>
      <c r="C19" s="10" t="n">
        <v>3000</v>
      </c>
      <c r="D19" s="10" t="n">
        <v>3000</v>
      </c>
      <c r="E19" s="10" t="n">
        <v>3000</v>
      </c>
      <c r="F19" s="10" t="n">
        <v>3000</v>
      </c>
      <c r="G19" s="10" t="n">
        <v>3000</v>
      </c>
      <c r="H19" s="10" t="n">
        <v>3000</v>
      </c>
      <c r="I19" s="10" t="n">
        <v>3000</v>
      </c>
      <c r="J19" s="10" t="n">
        <v>3000</v>
      </c>
      <c r="K19" s="10" t="n">
        <v>3000</v>
      </c>
      <c r="L19" s="10" t="n">
        <v>3000</v>
      </c>
      <c r="M19" s="10" t="n">
        <v>3000</v>
      </c>
      <c r="N19" s="17" t="n">
        <f aca="false">SUM(B19:M19)</f>
        <v>36000</v>
      </c>
    </row>
    <row r="20" customFormat="false" ht="15" hidden="false" customHeight="false" outlineLevel="0" collapsed="false">
      <c r="A20" s="9" t="s">
        <v>73</v>
      </c>
      <c r="B20" s="10" t="n">
        <v>2500</v>
      </c>
      <c r="C20" s="10" t="n">
        <v>2500</v>
      </c>
      <c r="D20" s="10" t="n">
        <v>2500</v>
      </c>
      <c r="E20" s="10" t="n">
        <v>2500</v>
      </c>
      <c r="F20" s="10" t="n">
        <v>2500</v>
      </c>
      <c r="G20" s="10" t="n">
        <v>2500</v>
      </c>
      <c r="H20" s="10" t="n">
        <v>2500</v>
      </c>
      <c r="I20" s="10" t="n">
        <v>2500</v>
      </c>
      <c r="J20" s="10" t="n">
        <v>2500</v>
      </c>
      <c r="K20" s="10" t="n">
        <v>2500</v>
      </c>
      <c r="L20" s="10" t="n">
        <v>2500</v>
      </c>
      <c r="M20" s="10" t="n">
        <v>2500</v>
      </c>
      <c r="N20" s="17" t="n">
        <f aca="false">SUM(B20:M20)</f>
        <v>30000</v>
      </c>
    </row>
    <row r="21" customFormat="false" ht="15" hidden="false" customHeight="false" outlineLevel="0" collapsed="false">
      <c r="A21" s="9" t="s">
        <v>74</v>
      </c>
      <c r="B21" s="10" t="n">
        <v>2000</v>
      </c>
      <c r="C21" s="10" t="n">
        <v>2000</v>
      </c>
      <c r="D21" s="10" t="n">
        <v>2000</v>
      </c>
      <c r="E21" s="10" t="n">
        <v>2000</v>
      </c>
      <c r="F21" s="10" t="n">
        <v>2000</v>
      </c>
      <c r="G21" s="10" t="n">
        <v>2000</v>
      </c>
      <c r="H21" s="10" t="n">
        <v>2000</v>
      </c>
      <c r="I21" s="10" t="n">
        <v>2000</v>
      </c>
      <c r="J21" s="10" t="n">
        <v>2000</v>
      </c>
      <c r="K21" s="10" t="n">
        <v>2000</v>
      </c>
      <c r="L21" s="10" t="n">
        <v>2000</v>
      </c>
      <c r="M21" s="10" t="n">
        <v>2000</v>
      </c>
      <c r="N21" s="17" t="n">
        <f aca="false">SUM(B21:M21)</f>
        <v>24000</v>
      </c>
    </row>
    <row r="22" customFormat="false" ht="15" hidden="false" customHeight="false" outlineLevel="0" collapsed="false">
      <c r="A22" s="9" t="s">
        <v>75</v>
      </c>
      <c r="B22" s="10" t="n">
        <v>3000</v>
      </c>
      <c r="C22" s="10" t="n">
        <v>3000</v>
      </c>
      <c r="D22" s="10" t="n">
        <v>3000</v>
      </c>
      <c r="E22" s="10" t="n">
        <v>3000</v>
      </c>
      <c r="F22" s="10" t="n">
        <v>3000</v>
      </c>
      <c r="G22" s="10" t="n">
        <v>3000</v>
      </c>
      <c r="H22" s="10" t="n">
        <v>20000</v>
      </c>
      <c r="I22" s="10" t="n">
        <v>20000</v>
      </c>
      <c r="J22" s="10" t="n">
        <v>20000</v>
      </c>
      <c r="K22" s="10" t="n">
        <v>20000</v>
      </c>
      <c r="L22" s="10" t="n">
        <v>20000</v>
      </c>
      <c r="M22" s="10" t="n">
        <v>20000</v>
      </c>
      <c r="N22" s="17" t="n">
        <f aca="false">SUM(B22:M22)</f>
        <v>138000</v>
      </c>
    </row>
    <row r="23" customFormat="false" ht="15" hidden="false" customHeight="false" outlineLevel="0" collapsed="false">
      <c r="A23" s="9" t="s">
        <v>76</v>
      </c>
      <c r="B23" s="10" t="n">
        <v>40000</v>
      </c>
      <c r="C23" s="10" t="n">
        <v>40000</v>
      </c>
      <c r="D23" s="10" t="n">
        <v>30000</v>
      </c>
      <c r="E23" s="10" t="n">
        <v>5000</v>
      </c>
      <c r="F23" s="10" t="n">
        <v>5000</v>
      </c>
      <c r="G23" s="10" t="n">
        <v>5000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7" t="n">
        <f aca="false">SUM(B23:M23)</f>
        <v>125000</v>
      </c>
    </row>
    <row r="24" customFormat="false" ht="15" hidden="false" customHeight="false" outlineLevel="0" collapsed="false">
      <c r="A24" s="9" t="s">
        <v>77</v>
      </c>
      <c r="B24" s="10" t="n">
        <v>0</v>
      </c>
      <c r="C24" s="10" t="n">
        <v>25000</v>
      </c>
      <c r="D24" s="10" t="n">
        <v>30000</v>
      </c>
      <c r="E24" s="10" t="n">
        <v>0</v>
      </c>
      <c r="F24" s="10" t="n">
        <v>0</v>
      </c>
      <c r="G24" s="10" t="n">
        <v>20000</v>
      </c>
      <c r="H24" s="10" t="n">
        <v>0</v>
      </c>
      <c r="I24" s="10" t="n">
        <v>0</v>
      </c>
      <c r="J24" s="10" t="n">
        <v>20000</v>
      </c>
      <c r="K24" s="10" t="n">
        <v>0</v>
      </c>
      <c r="L24" s="10" t="n">
        <v>0</v>
      </c>
      <c r="M24" s="10" t="n">
        <v>0</v>
      </c>
      <c r="N24" s="17" t="n">
        <f aca="false">SUM(B24:M24)</f>
        <v>95000</v>
      </c>
    </row>
    <row r="25" customFormat="false" ht="15" hidden="false" customHeight="false" outlineLevel="0" collapsed="false">
      <c r="A25" s="9" t="s">
        <v>78</v>
      </c>
      <c r="B25" s="10" t="n">
        <v>15000</v>
      </c>
      <c r="C25" s="10" t="n">
        <v>3000</v>
      </c>
      <c r="D25" s="10" t="n">
        <v>3000</v>
      </c>
      <c r="E25" s="10" t="n">
        <v>3000</v>
      </c>
      <c r="F25" s="10" t="n">
        <v>3000</v>
      </c>
      <c r="G25" s="10" t="n">
        <v>3000</v>
      </c>
      <c r="H25" s="10" t="n">
        <v>3000</v>
      </c>
      <c r="I25" s="10" t="n">
        <v>3000</v>
      </c>
      <c r="J25" s="10" t="n">
        <v>3000</v>
      </c>
      <c r="K25" s="10" t="n">
        <v>3000</v>
      </c>
      <c r="L25" s="10" t="n">
        <v>3000</v>
      </c>
      <c r="M25" s="10" t="n">
        <v>3000</v>
      </c>
      <c r="N25" s="17" t="n">
        <f aca="false">SUM(B25:M25)</f>
        <v>48000</v>
      </c>
    </row>
    <row r="26" customFormat="false" ht="15" hidden="false" customHeight="false" outlineLevel="0" collapsed="false">
      <c r="A26" s="9" t="s">
        <v>79</v>
      </c>
      <c r="B26" s="20" t="n">
        <f aca="false">Assumptions!$C$16/Assumptions!$C$11</f>
        <v>4166.66666666667</v>
      </c>
      <c r="C26" s="20" t="n">
        <f aca="false">Assumptions!$C$16/Assumptions!$C$11</f>
        <v>4166.66666666667</v>
      </c>
      <c r="D26" s="20" t="n">
        <f aca="false">Assumptions!$C$16/Assumptions!$C$11</f>
        <v>4166.66666666667</v>
      </c>
      <c r="E26" s="20" t="n">
        <f aca="false">Assumptions!$C$16/Assumptions!$C$11</f>
        <v>4166.66666666667</v>
      </c>
      <c r="F26" s="20" t="n">
        <f aca="false">Assumptions!$C$16/Assumptions!$C$11</f>
        <v>4166.66666666667</v>
      </c>
      <c r="G26" s="20" t="n">
        <f aca="false">Assumptions!$C$16/Assumptions!$C$11</f>
        <v>4166.66666666667</v>
      </c>
      <c r="H26" s="20" t="n">
        <f aca="false">Assumptions!$C$16/Assumptions!$C$11</f>
        <v>4166.66666666667</v>
      </c>
      <c r="I26" s="20" t="n">
        <f aca="false">Assumptions!$C$16/Assumptions!$C$11</f>
        <v>4166.66666666667</v>
      </c>
      <c r="J26" s="20" t="n">
        <f aca="false">Assumptions!$C$16/Assumptions!$C$11</f>
        <v>4166.66666666667</v>
      </c>
      <c r="K26" s="20" t="n">
        <f aca="false">Assumptions!$C$16/Assumptions!$C$11</f>
        <v>4166.66666666667</v>
      </c>
      <c r="L26" s="20" t="n">
        <f aca="false">Assumptions!$C$16/Assumptions!$C$11</f>
        <v>4166.66666666667</v>
      </c>
      <c r="M26" s="20" t="n">
        <f aca="false">Assumptions!$C$16/Assumptions!$C$11</f>
        <v>4166.66666666667</v>
      </c>
      <c r="N26" s="17" t="n">
        <f aca="false">SUM(B26:M26)</f>
        <v>50000</v>
      </c>
    </row>
    <row r="27" customFormat="false" ht="15" hidden="false" customHeight="false" outlineLevel="0" collapsed="false">
      <c r="A27" s="9" t="s">
        <v>80</v>
      </c>
      <c r="B27" s="20" t="n">
        <f aca="false">Assumptions!$C$17/Assumptions!$C$12</f>
        <v>8333.33333333333</v>
      </c>
      <c r="C27" s="20" t="n">
        <f aca="false">Assumptions!$C$17/Assumptions!$C$12</f>
        <v>8333.33333333333</v>
      </c>
      <c r="D27" s="20" t="n">
        <f aca="false">Assumptions!$C$17/Assumptions!$C$12</f>
        <v>8333.33333333333</v>
      </c>
      <c r="E27" s="20" t="n">
        <f aca="false">Assumptions!$C$17/Assumptions!$C$12</f>
        <v>8333.33333333333</v>
      </c>
      <c r="F27" s="20" t="n">
        <f aca="false">Assumptions!$C$17/Assumptions!$C$12</f>
        <v>8333.33333333333</v>
      </c>
      <c r="G27" s="20" t="n">
        <f aca="false">Assumptions!$C$17/Assumptions!$C$12</f>
        <v>8333.33333333333</v>
      </c>
      <c r="H27" s="20" t="n">
        <f aca="false">Assumptions!$C$17/Assumptions!$C$12</f>
        <v>8333.33333333333</v>
      </c>
      <c r="I27" s="20" t="n">
        <f aca="false">Assumptions!$C$17/Assumptions!$C$12</f>
        <v>8333.33333333333</v>
      </c>
      <c r="J27" s="20" t="n">
        <f aca="false">Assumptions!$C$17/Assumptions!$C$12</f>
        <v>8333.33333333333</v>
      </c>
      <c r="K27" s="20" t="n">
        <f aca="false">Assumptions!$C$17/Assumptions!$C$12</f>
        <v>8333.33333333333</v>
      </c>
      <c r="L27" s="20" t="n">
        <f aca="false">Assumptions!$C$17/Assumptions!$C$12</f>
        <v>8333.33333333333</v>
      </c>
      <c r="M27" s="20" t="n">
        <f aca="false">Assumptions!$C$17/Assumptions!$C$12</f>
        <v>8333.33333333333</v>
      </c>
      <c r="N27" s="17" t="n">
        <f aca="false">SUM(B27:M27)</f>
        <v>100000</v>
      </c>
    </row>
    <row r="28" customFormat="false" ht="15" hidden="false" customHeight="false" outlineLevel="0" collapsed="false">
      <c r="A28" s="21" t="s">
        <v>81</v>
      </c>
      <c r="B28" s="22" t="n">
        <f aca="false">SUM(B18:B27)</f>
        <v>118000</v>
      </c>
      <c r="C28" s="22" t="n">
        <f aca="false">SUM(C18:C27)</f>
        <v>131000</v>
      </c>
      <c r="D28" s="22" t="n">
        <f aca="false">SUM(D18:D27)</f>
        <v>126000</v>
      </c>
      <c r="E28" s="22" t="n">
        <f aca="false">SUM(E18:E27)</f>
        <v>91000</v>
      </c>
      <c r="F28" s="22" t="n">
        <f aca="false">SUM(F18:F27)</f>
        <v>91000</v>
      </c>
      <c r="G28" s="22" t="n">
        <f aca="false">SUM(G18:G27)</f>
        <v>111000</v>
      </c>
      <c r="H28" s="22" t="n">
        <f aca="false">SUM(H18:H27)</f>
        <v>143000</v>
      </c>
      <c r="I28" s="22" t="n">
        <f aca="false">SUM(I18:I27)</f>
        <v>143000</v>
      </c>
      <c r="J28" s="22" t="n">
        <f aca="false">SUM(J18:J27)</f>
        <v>163000</v>
      </c>
      <c r="K28" s="22" t="n">
        <f aca="false">SUM(K18:K27)</f>
        <v>143000</v>
      </c>
      <c r="L28" s="22" t="n">
        <f aca="false">SUM(L18:L27)</f>
        <v>143000</v>
      </c>
      <c r="M28" s="22" t="n">
        <f aca="false">SUM(M18:M27)</f>
        <v>143000</v>
      </c>
      <c r="N28" s="22" t="n">
        <f aca="false">SUM(B28:M28)</f>
        <v>1546000</v>
      </c>
    </row>
    <row r="30" customFormat="false" ht="15" hidden="false" customHeight="false" outlineLevel="0" collapsed="false">
      <c r="A30" s="21" t="s">
        <v>82</v>
      </c>
      <c r="B30" s="22" t="n">
        <f aca="false">B14-(B28-B26-B27)</f>
        <v>-125660</v>
      </c>
      <c r="C30" s="22" t="n">
        <f aca="false">C14-(C28-C26-C27)</f>
        <v>-138740</v>
      </c>
      <c r="D30" s="22" t="n">
        <f aca="false">D14-(D28-D26-D27)</f>
        <v>-125860</v>
      </c>
      <c r="E30" s="22" t="n">
        <f aca="false">E14-(E28-E26-E27)</f>
        <v>312980</v>
      </c>
      <c r="F30" s="22" t="n">
        <f aca="false">F14-(F28-F26-F27)</f>
        <v>-81300</v>
      </c>
      <c r="G30" s="22" t="n">
        <f aca="false">G14-(G28-G26-G27)</f>
        <v>-101700</v>
      </c>
      <c r="H30" s="22" t="n">
        <f aca="false">H14-(H28-H26-H27)</f>
        <v>-123020</v>
      </c>
      <c r="I30" s="22" t="n">
        <f aca="false">I14-(I28-I26-I27)</f>
        <v>-111750</v>
      </c>
      <c r="J30" s="22" t="n">
        <f aca="false">J14-(J28-J26-J27)</f>
        <v>283880</v>
      </c>
      <c r="K30" s="22" t="n">
        <f aca="false">K14-(K28-K26-K27)</f>
        <v>-79366.6666666667</v>
      </c>
      <c r="L30" s="22" t="n">
        <f aca="false">L14-(L28-L26-L27)</f>
        <v>-61166.6666666667</v>
      </c>
      <c r="M30" s="22" t="n">
        <f aca="false">M14-(M28-M26-M27)</f>
        <v>-41976.6666666667</v>
      </c>
      <c r="N30" s="22" t="n">
        <f aca="false">SUM(B30:M30)</f>
        <v>-393680</v>
      </c>
    </row>
    <row r="31" customFormat="false" ht="15" hidden="false" customHeight="false" outlineLevel="0" collapsed="false">
      <c r="A31" s="21" t="s">
        <v>83</v>
      </c>
      <c r="B31" s="22" t="n">
        <f aca="false">B14-B28</f>
        <v>-138160</v>
      </c>
      <c r="C31" s="22" t="n">
        <f aca="false">C14-C28</f>
        <v>-151240</v>
      </c>
      <c r="D31" s="22" t="n">
        <f aca="false">D14-D28</f>
        <v>-138360</v>
      </c>
      <c r="E31" s="22" t="n">
        <f aca="false">E14-E28</f>
        <v>300480</v>
      </c>
      <c r="F31" s="22" t="n">
        <f aca="false">F14-F28</f>
        <v>-93800</v>
      </c>
      <c r="G31" s="22" t="n">
        <f aca="false">G14-G28</f>
        <v>-114200</v>
      </c>
      <c r="H31" s="22" t="n">
        <f aca="false">H14-H28</f>
        <v>-135520</v>
      </c>
      <c r="I31" s="22" t="n">
        <f aca="false">I14-I28</f>
        <v>-124250</v>
      </c>
      <c r="J31" s="22" t="n">
        <f aca="false">J14-J28</f>
        <v>271380</v>
      </c>
      <c r="K31" s="22" t="n">
        <f aca="false">K14-K28</f>
        <v>-91866.6666666667</v>
      </c>
      <c r="L31" s="22" t="n">
        <f aca="false">L14-L28</f>
        <v>-73666.6666666667</v>
      </c>
      <c r="M31" s="22" t="n">
        <f aca="false">M14-M28</f>
        <v>-54476.6666666667</v>
      </c>
      <c r="N31" s="22" t="n">
        <f aca="false">SUM(B31:M31)</f>
        <v>-543680</v>
      </c>
    </row>
    <row r="32" customFormat="false" ht="15" hidden="false" customHeight="false" outlineLevel="0" collapsed="false">
      <c r="A32" s="9" t="s">
        <v>84</v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f aca="false">SUM(B32:M32)</f>
        <v>0</v>
      </c>
    </row>
    <row r="33" customFormat="false" ht="15" hidden="false" customHeight="false" outlineLevel="0" collapsed="false">
      <c r="A33" s="21" t="s">
        <v>85</v>
      </c>
      <c r="B33" s="22" t="n">
        <f aca="false">B31-B32</f>
        <v>-138160</v>
      </c>
      <c r="C33" s="22" t="n">
        <f aca="false">C31-C32</f>
        <v>-151240</v>
      </c>
      <c r="D33" s="22" t="n">
        <f aca="false">D31-D32</f>
        <v>-138360</v>
      </c>
      <c r="E33" s="22" t="n">
        <f aca="false">E31-E32</f>
        <v>300480</v>
      </c>
      <c r="F33" s="22" t="n">
        <f aca="false">F31-F32</f>
        <v>-93800</v>
      </c>
      <c r="G33" s="22" t="n">
        <f aca="false">G31-G32</f>
        <v>-114200</v>
      </c>
      <c r="H33" s="22" t="n">
        <f aca="false">H31-H32</f>
        <v>-135520</v>
      </c>
      <c r="I33" s="22" t="n">
        <f aca="false">I31-I32</f>
        <v>-124250</v>
      </c>
      <c r="J33" s="22" t="n">
        <f aca="false">J31-J32</f>
        <v>271380</v>
      </c>
      <c r="K33" s="22" t="n">
        <f aca="false">K31-K32</f>
        <v>-91866.6666666667</v>
      </c>
      <c r="L33" s="22" t="n">
        <f aca="false">L31-L32</f>
        <v>-73666.6666666667</v>
      </c>
      <c r="M33" s="22" t="n">
        <f aca="false">M31-M32</f>
        <v>-54476.6666666667</v>
      </c>
      <c r="N33" s="22" t="n">
        <f aca="false">SUM(B33:M33)</f>
        <v>-543680</v>
      </c>
    </row>
    <row r="34" customFormat="false" ht="15" hidden="false" customHeight="false" outlineLevel="0" collapsed="false">
      <c r="A34" s="9" t="s">
        <v>86</v>
      </c>
      <c r="B34" s="20" t="n">
        <f aca="false">(B5+B6)*Assumptions!$C$10</f>
        <v>0</v>
      </c>
      <c r="C34" s="20" t="n">
        <f aca="false">(C5+C6)*Assumptions!$C$10</f>
        <v>0</v>
      </c>
      <c r="D34" s="20" t="n">
        <f aca="false">(D5+D6)*Assumptions!$C$10</f>
        <v>0</v>
      </c>
      <c r="E34" s="20" t="n">
        <f aca="false">(E5+E6)*Assumptions!$C$10</f>
        <v>0</v>
      </c>
      <c r="F34" s="20" t="n">
        <f aca="false">(F5+F6)*Assumptions!$C$10</f>
        <v>0</v>
      </c>
      <c r="G34" s="20" t="n">
        <f aca="false">(G5+G6)*Assumptions!$C$10</f>
        <v>0</v>
      </c>
      <c r="H34" s="20" t="n">
        <f aca="false">(H5+H6)*Assumptions!$C$10</f>
        <v>356.4</v>
      </c>
      <c r="I34" s="20" t="n">
        <f aca="false">(I5+I6)*Assumptions!$C$10</f>
        <v>742.5</v>
      </c>
      <c r="J34" s="20" t="n">
        <f aca="false">(J5+J6)*Assumptions!$C$10</f>
        <v>1247.4</v>
      </c>
      <c r="K34" s="20" t="n">
        <f aca="false">(K5+K6)*Assumptions!$C$10</f>
        <v>1882</v>
      </c>
      <c r="L34" s="20" t="n">
        <f aca="false">(L5+L6)*Assumptions!$C$10</f>
        <v>2476</v>
      </c>
      <c r="M34" s="20" t="n">
        <f aca="false">(M5+M6)*Assumptions!$C$10</f>
        <v>3099.7</v>
      </c>
      <c r="N34" s="17" t="n">
        <f aca="false">SUM(B34:M34)</f>
        <v>9804</v>
      </c>
    </row>
    <row r="35" customFormat="false" ht="15" hidden="false" customHeight="false" outlineLevel="0" collapsed="false">
      <c r="A35" s="21" t="s">
        <v>87</v>
      </c>
      <c r="B35" s="22" t="n">
        <f aca="false">B33-B34</f>
        <v>-138160</v>
      </c>
      <c r="C35" s="22" t="n">
        <f aca="false">C33-C34</f>
        <v>-151240</v>
      </c>
      <c r="D35" s="22" t="n">
        <f aca="false">D33-D34</f>
        <v>-138360</v>
      </c>
      <c r="E35" s="22" t="n">
        <f aca="false">E33-E34</f>
        <v>300480</v>
      </c>
      <c r="F35" s="22" t="n">
        <f aca="false">F33-F34</f>
        <v>-93800</v>
      </c>
      <c r="G35" s="22" t="n">
        <f aca="false">G33-G34</f>
        <v>-114200</v>
      </c>
      <c r="H35" s="22" t="n">
        <f aca="false">H33-H34</f>
        <v>-135876.4</v>
      </c>
      <c r="I35" s="22" t="n">
        <f aca="false">I33-I34</f>
        <v>-124992.5</v>
      </c>
      <c r="J35" s="22" t="n">
        <f aca="false">J33-J34</f>
        <v>270132.6</v>
      </c>
      <c r="K35" s="22" t="n">
        <f aca="false">K33-K34</f>
        <v>-93748.6666666667</v>
      </c>
      <c r="L35" s="22" t="n">
        <f aca="false">L33-L34</f>
        <v>-76142.6666666667</v>
      </c>
      <c r="M35" s="22" t="n">
        <f aca="false">M33-M34</f>
        <v>-57576.3666666667</v>
      </c>
      <c r="N35" s="22" t="n">
        <f aca="false">SUM(B35:M35)</f>
        <v>-553484</v>
      </c>
    </row>
    <row r="36" customFormat="false" ht="15" hidden="false" customHeight="false" outlineLevel="0" collapsed="false">
      <c r="A36" s="23" t="s">
        <v>88</v>
      </c>
      <c r="B36" s="24" t="n">
        <f aca="false">IF(B8=0,0,B35/B8)</f>
        <v>0</v>
      </c>
      <c r="C36" s="24" t="n">
        <f aca="false">IF(C8=0,0,C35/C8)</f>
        <v>0</v>
      </c>
      <c r="D36" s="24" t="n">
        <f aca="false">IF(D8=0,0,D35/D8)</f>
        <v>0</v>
      </c>
      <c r="E36" s="24" t="n">
        <f aca="false">IF(E8=0,0,E35/E8)</f>
        <v>0.7512</v>
      </c>
      <c r="F36" s="24" t="n">
        <f aca="false">IF(F8=0,0,F35/F8)</f>
        <v>0</v>
      </c>
      <c r="G36" s="24" t="n">
        <f aca="false">IF(G8=0,0,G35/G8)</f>
        <v>0</v>
      </c>
      <c r="H36" s="24" t="n">
        <f aca="false">IF(H8=0,0,H35/H8)</f>
        <v>-11.4374074074074</v>
      </c>
      <c r="I36" s="24" t="n">
        <f aca="false">IF(I8=0,0,I35/I8)</f>
        <v>-5.05020202020202</v>
      </c>
      <c r="J36" s="24" t="n">
        <f aca="false">IF(J8=0,0,J35/J8)</f>
        <v>0.611741020879569</v>
      </c>
      <c r="K36" s="24" t="n">
        <f aca="false">IF(K8=0,0,K35/K8)</f>
        <v>-1.4943995749203</v>
      </c>
      <c r="L36" s="24" t="n">
        <f aca="false">IF(L8=0,0,L35/L8)</f>
        <v>-0.922568659127625</v>
      </c>
      <c r="M36" s="24" t="n">
        <f aca="false">IF(M8=0,0,M35/M8)</f>
        <v>-0.55724457205536</v>
      </c>
      <c r="N36" s="24" t="n">
        <f aca="false">IF(N8=0,0,N35/N8)</f>
        <v>-0.49119985800497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6" t="s">
        <v>89</v>
      </c>
    </row>
    <row r="2" customFormat="false" ht="15" hidden="false" customHeight="false" outlineLevel="0" collapsed="false">
      <c r="A2" s="7" t="s">
        <v>90</v>
      </c>
    </row>
    <row r="3" customFormat="false" ht="15" hidden="false" customHeight="false" outlineLevel="0" collapsed="false">
      <c r="A3" s="14"/>
      <c r="B3" s="15" t="s">
        <v>40</v>
      </c>
      <c r="C3" s="15" t="s">
        <v>41</v>
      </c>
      <c r="D3" s="15" t="s">
        <v>42</v>
      </c>
      <c r="E3" s="15" t="s">
        <v>43</v>
      </c>
      <c r="F3" s="15" t="s">
        <v>44</v>
      </c>
      <c r="G3" s="15" t="s">
        <v>45</v>
      </c>
      <c r="H3" s="15" t="s">
        <v>46</v>
      </c>
      <c r="I3" s="15" t="s">
        <v>47</v>
      </c>
      <c r="J3" s="15" t="s">
        <v>48</v>
      </c>
      <c r="K3" s="15" t="s">
        <v>49</v>
      </c>
      <c r="L3" s="15" t="s">
        <v>50</v>
      </c>
      <c r="M3" s="15" t="s">
        <v>51</v>
      </c>
      <c r="N3" s="15" t="s">
        <v>58</v>
      </c>
    </row>
    <row r="4" customFormat="false" ht="15" hidden="false" customHeight="false" outlineLevel="0" collapsed="false">
      <c r="A4" s="18" t="s">
        <v>91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customFormat="false" ht="15" hidden="false" customHeight="false" outlineLevel="0" collapsed="false">
      <c r="A5" s="9" t="s">
        <v>92</v>
      </c>
      <c r="B5" s="20" t="n">
        <f aca="false">'Income Statement'!B5</f>
        <v>0</v>
      </c>
      <c r="C5" s="20" t="n">
        <f aca="false">'Income Statement'!C5</f>
        <v>0</v>
      </c>
      <c r="D5" s="20" t="n">
        <f aca="false">'Income Statement'!D5</f>
        <v>0</v>
      </c>
      <c r="E5" s="20" t="n">
        <f aca="false">'Income Statement'!E5</f>
        <v>0</v>
      </c>
      <c r="F5" s="20" t="n">
        <f aca="false">'Income Statement'!F5</f>
        <v>0</v>
      </c>
      <c r="G5" s="20" t="n">
        <f aca="false">'Income Statement'!G5</f>
        <v>0</v>
      </c>
      <c r="H5" s="20" t="n">
        <f aca="false">'Income Statement'!H5</f>
        <v>11880</v>
      </c>
      <c r="I5" s="20" t="n">
        <f aca="false">'Income Statement'!I5</f>
        <v>24750</v>
      </c>
      <c r="J5" s="20" t="n">
        <f aca="false">'Income Statement'!J5</f>
        <v>41580</v>
      </c>
      <c r="K5" s="20" t="n">
        <f aca="false">'Income Statement'!K5</f>
        <v>59400</v>
      </c>
      <c r="L5" s="20" t="n">
        <f aca="false">'Income Statement'!L5</f>
        <v>79200</v>
      </c>
      <c r="M5" s="20" t="n">
        <f aca="false">'Income Statement'!M5</f>
        <v>99990</v>
      </c>
      <c r="N5" s="17" t="n">
        <f aca="false">SUM(B5:M5)</f>
        <v>316800</v>
      </c>
    </row>
    <row r="6" customFormat="false" ht="15" hidden="false" customHeight="false" outlineLevel="0" collapsed="false">
      <c r="A6" s="9" t="s">
        <v>93</v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40000</v>
      </c>
      <c r="L6" s="10" t="n">
        <v>0</v>
      </c>
      <c r="M6" s="10" t="n">
        <v>0</v>
      </c>
      <c r="N6" s="17" t="n">
        <f aca="false">SUM(B6:M6)</f>
        <v>40000</v>
      </c>
    </row>
    <row r="7" customFormat="false" ht="15" hidden="false" customHeight="false" outlineLevel="0" collapsed="false">
      <c r="A7" s="9" t="s">
        <v>94</v>
      </c>
      <c r="B7" s="20" t="n">
        <f aca="false">'Income Statement'!B7</f>
        <v>0</v>
      </c>
      <c r="C7" s="20" t="n">
        <f aca="false">'Income Statement'!C7</f>
        <v>0</v>
      </c>
      <c r="D7" s="20" t="n">
        <f aca="false">'Income Statement'!D7</f>
        <v>0</v>
      </c>
      <c r="E7" s="20" t="n">
        <f aca="false">'Income Statement'!E7</f>
        <v>400000</v>
      </c>
      <c r="F7" s="20" t="n">
        <f aca="false">'Income Statement'!F7</f>
        <v>0</v>
      </c>
      <c r="G7" s="20" t="n">
        <f aca="false">'Income Statement'!G7</f>
        <v>0</v>
      </c>
      <c r="H7" s="20" t="n">
        <f aca="false">'Income Statement'!H7</f>
        <v>0</v>
      </c>
      <c r="I7" s="20" t="n">
        <f aca="false">'Income Statement'!I7</f>
        <v>0</v>
      </c>
      <c r="J7" s="20" t="n">
        <f aca="false">'Income Statement'!J7</f>
        <v>400000</v>
      </c>
      <c r="K7" s="20" t="n">
        <f aca="false">'Income Statement'!K7</f>
        <v>0</v>
      </c>
      <c r="L7" s="20" t="n">
        <f aca="false">'Income Statement'!L7</f>
        <v>0</v>
      </c>
      <c r="M7" s="20" t="n">
        <f aca="false">'Income Statement'!M7</f>
        <v>0</v>
      </c>
      <c r="N7" s="17" t="n">
        <f aca="false">SUM(B7:M7)</f>
        <v>800000</v>
      </c>
    </row>
    <row r="8" customFormat="false" ht="15" hidden="false" customHeight="false" outlineLevel="0" collapsed="false">
      <c r="A8" s="9" t="s">
        <v>95</v>
      </c>
      <c r="B8" s="20" t="n">
        <f aca="false">-'Income Statement'!B13</f>
        <v>-20160</v>
      </c>
      <c r="C8" s="20" t="n">
        <f aca="false">-'Income Statement'!C13</f>
        <v>-20240</v>
      </c>
      <c r="D8" s="20" t="n">
        <f aca="false">-'Income Statement'!D13</f>
        <v>-12360</v>
      </c>
      <c r="E8" s="20" t="n">
        <f aca="false">-'Income Statement'!E13</f>
        <v>-8520</v>
      </c>
      <c r="F8" s="20" t="n">
        <f aca="false">-'Income Statement'!F13</f>
        <v>-2800</v>
      </c>
      <c r="G8" s="20" t="n">
        <f aca="false">-'Income Statement'!G13</f>
        <v>-3200</v>
      </c>
      <c r="H8" s="20" t="n">
        <f aca="false">-'Income Statement'!H13</f>
        <v>-4400</v>
      </c>
      <c r="I8" s="20" t="n">
        <f aca="false">-'Income Statement'!I13</f>
        <v>-6000</v>
      </c>
      <c r="J8" s="20" t="n">
        <f aca="false">-'Income Statement'!J13</f>
        <v>-7200</v>
      </c>
      <c r="K8" s="20" t="n">
        <f aca="false">-'Income Statement'!K13</f>
        <v>-11600</v>
      </c>
      <c r="L8" s="20" t="n">
        <f aca="false">-'Income Statement'!L13</f>
        <v>-13200</v>
      </c>
      <c r="M8" s="20" t="n">
        <f aca="false">-'Income Statement'!M13</f>
        <v>-14800</v>
      </c>
      <c r="N8" s="17" t="n">
        <f aca="false">SUM(B8:M8)</f>
        <v>-124480</v>
      </c>
    </row>
    <row r="9" customFormat="false" ht="15" hidden="false" customHeight="false" outlineLevel="0" collapsed="false">
      <c r="A9" s="9" t="s">
        <v>96</v>
      </c>
      <c r="B9" s="20" t="n">
        <f aca="false">-('Income Statement'!B28-'Income Statement'!B26-'Income Statement'!B27)</f>
        <v>-105500</v>
      </c>
      <c r="C9" s="20" t="n">
        <f aca="false">-('Income Statement'!C28-'Income Statement'!C26-'Income Statement'!C27)</f>
        <v>-118500</v>
      </c>
      <c r="D9" s="20" t="n">
        <f aca="false">-('Income Statement'!D28-'Income Statement'!D26-'Income Statement'!D27)</f>
        <v>-113500</v>
      </c>
      <c r="E9" s="20" t="n">
        <f aca="false">-('Income Statement'!E28-'Income Statement'!E26-'Income Statement'!E27)</f>
        <v>-78500</v>
      </c>
      <c r="F9" s="20" t="n">
        <f aca="false">-('Income Statement'!F28-'Income Statement'!F26-'Income Statement'!F27)</f>
        <v>-78500</v>
      </c>
      <c r="G9" s="20" t="n">
        <f aca="false">-('Income Statement'!G28-'Income Statement'!G26-'Income Statement'!G27)</f>
        <v>-98500</v>
      </c>
      <c r="H9" s="20" t="n">
        <f aca="false">-('Income Statement'!H28-'Income Statement'!H26-'Income Statement'!H27)</f>
        <v>-130500</v>
      </c>
      <c r="I9" s="20" t="n">
        <f aca="false">-('Income Statement'!I28-'Income Statement'!I26-'Income Statement'!I27)</f>
        <v>-130500</v>
      </c>
      <c r="J9" s="20" t="n">
        <f aca="false">-('Income Statement'!J28-'Income Statement'!J26-'Income Statement'!J27)</f>
        <v>-150500</v>
      </c>
      <c r="K9" s="20" t="n">
        <f aca="false">-('Income Statement'!K28-'Income Statement'!K26-'Income Statement'!K27)</f>
        <v>-130500</v>
      </c>
      <c r="L9" s="20" t="n">
        <f aca="false">-('Income Statement'!L28-'Income Statement'!L26-'Income Statement'!L27)</f>
        <v>-130500</v>
      </c>
      <c r="M9" s="20" t="n">
        <f aca="false">-('Income Statement'!M28-'Income Statement'!M26-'Income Statement'!M27)</f>
        <v>-130500</v>
      </c>
      <c r="N9" s="17" t="n">
        <f aca="false">SUM(B9:M9)</f>
        <v>-1396000</v>
      </c>
    </row>
    <row r="10" customFormat="false" ht="15" hidden="false" customHeight="false" outlineLevel="0" collapsed="false">
      <c r="A10" s="9" t="s">
        <v>97</v>
      </c>
      <c r="B10" s="20" t="n">
        <f aca="false">-'Income Statement'!B34</f>
        <v>-0</v>
      </c>
      <c r="C10" s="20" t="n">
        <f aca="false">-'Income Statement'!C34</f>
        <v>-0</v>
      </c>
      <c r="D10" s="20" t="n">
        <f aca="false">-'Income Statement'!D34</f>
        <v>-0</v>
      </c>
      <c r="E10" s="20" t="n">
        <f aca="false">-'Income Statement'!E34</f>
        <v>-0</v>
      </c>
      <c r="F10" s="20" t="n">
        <f aca="false">-'Income Statement'!F34</f>
        <v>-0</v>
      </c>
      <c r="G10" s="20" t="n">
        <f aca="false">-'Income Statement'!G34</f>
        <v>-0</v>
      </c>
      <c r="H10" s="20" t="n">
        <f aca="false">-'Income Statement'!H34</f>
        <v>-356.4</v>
      </c>
      <c r="I10" s="20" t="n">
        <f aca="false">-'Income Statement'!I34</f>
        <v>-742.5</v>
      </c>
      <c r="J10" s="20" t="n">
        <f aca="false">-'Income Statement'!J34</f>
        <v>-1247.4</v>
      </c>
      <c r="K10" s="20" t="n">
        <f aca="false">-'Income Statement'!K34</f>
        <v>-1882</v>
      </c>
      <c r="L10" s="20" t="n">
        <f aca="false">-'Income Statement'!L34</f>
        <v>-2476</v>
      </c>
      <c r="M10" s="20" t="n">
        <f aca="false">-'Income Statement'!M34</f>
        <v>-3099.7</v>
      </c>
      <c r="N10" s="17" t="n">
        <f aca="false">SUM(B10:M10)</f>
        <v>-9804</v>
      </c>
    </row>
    <row r="11" customFormat="false" ht="15" hidden="false" customHeight="false" outlineLevel="0" collapsed="false">
      <c r="A11" s="21" t="s">
        <v>98</v>
      </c>
      <c r="B11" s="22" t="n">
        <f aca="false">SUM(B5:B10)</f>
        <v>-125660</v>
      </c>
      <c r="C11" s="22" t="n">
        <f aca="false">SUM(C5:C10)</f>
        <v>-138740</v>
      </c>
      <c r="D11" s="22" t="n">
        <f aca="false">SUM(D5:D10)</f>
        <v>-125860</v>
      </c>
      <c r="E11" s="22" t="n">
        <f aca="false">SUM(E5:E10)</f>
        <v>312980</v>
      </c>
      <c r="F11" s="22" t="n">
        <f aca="false">SUM(F5:F10)</f>
        <v>-81300</v>
      </c>
      <c r="G11" s="22" t="n">
        <f aca="false">SUM(G5:G10)</f>
        <v>-101700</v>
      </c>
      <c r="H11" s="22" t="n">
        <f aca="false">SUM(H5:H10)</f>
        <v>-123376.4</v>
      </c>
      <c r="I11" s="22" t="n">
        <f aca="false">SUM(I5:I10)</f>
        <v>-112492.5</v>
      </c>
      <c r="J11" s="22" t="n">
        <f aca="false">SUM(J5:J10)</f>
        <v>282632.6</v>
      </c>
      <c r="K11" s="22" t="n">
        <f aca="false">SUM(K5:K10)</f>
        <v>-44582</v>
      </c>
      <c r="L11" s="22" t="n">
        <f aca="false">SUM(L5:L10)</f>
        <v>-66976</v>
      </c>
      <c r="M11" s="22" t="n">
        <f aca="false">SUM(M5:M10)</f>
        <v>-48409.7</v>
      </c>
      <c r="N11" s="22" t="n">
        <f aca="false">SUM(B11:M11)</f>
        <v>-373484</v>
      </c>
    </row>
    <row r="13" customFormat="false" ht="15" hidden="false" customHeight="false" outlineLevel="0" collapsed="false">
      <c r="A13" s="18" t="s">
        <v>99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customFormat="false" ht="15" hidden="false" customHeight="false" outlineLevel="0" collapsed="false">
      <c r="A14" s="9" t="s">
        <v>100</v>
      </c>
      <c r="B14" s="20" t="n">
        <f aca="false">-Assumptions!$C$16</f>
        <v>-150000</v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17" t="n">
        <f aca="false">SUM(B14:M14)</f>
        <v>-150000</v>
      </c>
    </row>
    <row r="15" customFormat="false" ht="15" hidden="false" customHeight="false" outlineLevel="0" collapsed="false">
      <c r="A15" s="9" t="s">
        <v>101</v>
      </c>
      <c r="B15" s="20" t="n">
        <f aca="false">-Assumptions!$C$17</f>
        <v>-300000</v>
      </c>
      <c r="C15" s="20" t="n">
        <v>0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17" t="n">
        <f aca="false">SUM(B15:M15)</f>
        <v>-300000</v>
      </c>
    </row>
    <row r="16" customFormat="false" ht="15" hidden="false" customHeight="false" outlineLevel="0" collapsed="false">
      <c r="A16" s="21" t="s">
        <v>102</v>
      </c>
      <c r="B16" s="22" t="n">
        <f aca="false">SUM(B14:B15)</f>
        <v>-450000</v>
      </c>
      <c r="C16" s="22" t="n">
        <f aca="false">SUM(C14:C15)</f>
        <v>0</v>
      </c>
      <c r="D16" s="22" t="n">
        <f aca="false">SUM(D14:D15)</f>
        <v>0</v>
      </c>
      <c r="E16" s="22" t="n">
        <f aca="false">SUM(E14:E15)</f>
        <v>0</v>
      </c>
      <c r="F16" s="22" t="n">
        <f aca="false">SUM(F14:F15)</f>
        <v>0</v>
      </c>
      <c r="G16" s="22" t="n">
        <f aca="false">SUM(G14:G15)</f>
        <v>0</v>
      </c>
      <c r="H16" s="22" t="n">
        <f aca="false">SUM(H14:H15)</f>
        <v>0</v>
      </c>
      <c r="I16" s="22" t="n">
        <f aca="false">SUM(I14:I15)</f>
        <v>0</v>
      </c>
      <c r="J16" s="22" t="n">
        <f aca="false">SUM(J14:J15)</f>
        <v>0</v>
      </c>
      <c r="K16" s="22" t="n">
        <f aca="false">SUM(K14:K15)</f>
        <v>0</v>
      </c>
      <c r="L16" s="22" t="n">
        <f aca="false">SUM(L14:L15)</f>
        <v>0</v>
      </c>
      <c r="M16" s="22" t="n">
        <f aca="false">SUM(M14:M15)</f>
        <v>0</v>
      </c>
      <c r="N16" s="22" t="n">
        <f aca="false">SUM(B16:M16)</f>
        <v>-450000</v>
      </c>
    </row>
    <row r="18" customFormat="false" ht="15" hidden="false" customHeight="false" outlineLevel="0" collapsed="false">
      <c r="A18" s="18" t="s">
        <v>103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customFormat="false" ht="15" hidden="false" customHeight="false" outlineLevel="0" collapsed="false">
      <c r="A19" s="9" t="s">
        <v>104</v>
      </c>
      <c r="B19" s="20" t="n">
        <f aca="false">Assumptions!$C$15</f>
        <v>1500000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17" t="n">
        <f aca="false">SUM(B19:M19)</f>
        <v>1500000</v>
      </c>
    </row>
    <row r="20" customFormat="false" ht="15" hidden="false" customHeight="false" outlineLevel="0" collapsed="false">
      <c r="A20" s="21" t="s">
        <v>105</v>
      </c>
      <c r="B20" s="22" t="n">
        <f aca="false">B19</f>
        <v>1500000</v>
      </c>
      <c r="C20" s="22" t="n">
        <f aca="false">C19</f>
        <v>0</v>
      </c>
      <c r="D20" s="22" t="n">
        <f aca="false">D19</f>
        <v>0</v>
      </c>
      <c r="E20" s="22" t="n">
        <f aca="false">E19</f>
        <v>0</v>
      </c>
      <c r="F20" s="22" t="n">
        <f aca="false">F19</f>
        <v>0</v>
      </c>
      <c r="G20" s="22" t="n">
        <f aca="false">G19</f>
        <v>0</v>
      </c>
      <c r="H20" s="22" t="n">
        <f aca="false">H19</f>
        <v>0</v>
      </c>
      <c r="I20" s="22" t="n">
        <f aca="false">I19</f>
        <v>0</v>
      </c>
      <c r="J20" s="22" t="n">
        <f aca="false">J19</f>
        <v>0</v>
      </c>
      <c r="K20" s="22" t="n">
        <f aca="false">K19</f>
        <v>0</v>
      </c>
      <c r="L20" s="22" t="n">
        <f aca="false">L19</f>
        <v>0</v>
      </c>
      <c r="M20" s="22" t="n">
        <f aca="false">M19</f>
        <v>0</v>
      </c>
      <c r="N20" s="22" t="n">
        <f aca="false">SUM(B20:M20)</f>
        <v>1500000</v>
      </c>
    </row>
    <row r="22" customFormat="false" ht="15" hidden="false" customHeight="false" outlineLevel="0" collapsed="false">
      <c r="A22" s="21" t="s">
        <v>106</v>
      </c>
      <c r="B22" s="22" t="n">
        <f aca="false">B11+B16+B20</f>
        <v>924340</v>
      </c>
      <c r="C22" s="22" t="n">
        <f aca="false">C11+C16+C20</f>
        <v>-138740</v>
      </c>
      <c r="D22" s="22" t="n">
        <f aca="false">D11+D16+D20</f>
        <v>-125860</v>
      </c>
      <c r="E22" s="22" t="n">
        <f aca="false">E11+E16+E20</f>
        <v>312980</v>
      </c>
      <c r="F22" s="22" t="n">
        <f aca="false">F11+F16+F20</f>
        <v>-81300</v>
      </c>
      <c r="G22" s="22" t="n">
        <f aca="false">G11+G16+G20</f>
        <v>-101700</v>
      </c>
      <c r="H22" s="22" t="n">
        <f aca="false">H11+H16+H20</f>
        <v>-123376.4</v>
      </c>
      <c r="I22" s="22" t="n">
        <f aca="false">I11+I16+I20</f>
        <v>-112492.5</v>
      </c>
      <c r="J22" s="22" t="n">
        <f aca="false">J11+J16+J20</f>
        <v>282632.6</v>
      </c>
      <c r="K22" s="22" t="n">
        <f aca="false">K11+K16+K20</f>
        <v>-44582</v>
      </c>
      <c r="L22" s="22" t="n">
        <f aca="false">L11+L16+L20</f>
        <v>-66976</v>
      </c>
      <c r="M22" s="22" t="n">
        <f aca="false">M11+M16+M20</f>
        <v>-48409.7</v>
      </c>
      <c r="N22" s="22" t="n">
        <f aca="false">SUM(B22:M22)</f>
        <v>676516</v>
      </c>
    </row>
    <row r="23" customFormat="false" ht="15" hidden="false" customHeight="false" outlineLevel="0" collapsed="false">
      <c r="A23" s="21" t="s">
        <v>107</v>
      </c>
      <c r="B23" s="22" t="n">
        <v>0</v>
      </c>
      <c r="C23" s="22" t="n">
        <f aca="false">B24</f>
        <v>924340</v>
      </c>
      <c r="D23" s="22" t="n">
        <f aca="false">C24</f>
        <v>785600</v>
      </c>
      <c r="E23" s="22" t="n">
        <f aca="false">D24</f>
        <v>659740</v>
      </c>
      <c r="F23" s="22" t="n">
        <f aca="false">E24</f>
        <v>972720</v>
      </c>
      <c r="G23" s="22" t="n">
        <f aca="false">F24</f>
        <v>891420</v>
      </c>
      <c r="H23" s="22" t="n">
        <f aca="false">G24</f>
        <v>789720</v>
      </c>
      <c r="I23" s="22" t="n">
        <f aca="false">H24</f>
        <v>666343.6</v>
      </c>
      <c r="J23" s="22" t="n">
        <f aca="false">I24</f>
        <v>553851.1</v>
      </c>
      <c r="K23" s="22" t="n">
        <f aca="false">J24</f>
        <v>836483.7</v>
      </c>
      <c r="L23" s="22" t="n">
        <f aca="false">K24</f>
        <v>791901.7</v>
      </c>
      <c r="M23" s="22" t="n">
        <f aca="false">L24</f>
        <v>724925.7</v>
      </c>
      <c r="N23" s="22" t="n">
        <f aca="false">B23</f>
        <v>0</v>
      </c>
    </row>
    <row r="24" customFormat="false" ht="15" hidden="false" customHeight="false" outlineLevel="0" collapsed="false">
      <c r="A24" s="8" t="s">
        <v>108</v>
      </c>
      <c r="B24" s="25" t="n">
        <f aca="false">B23+B22</f>
        <v>924340</v>
      </c>
      <c r="C24" s="25" t="n">
        <f aca="false">C23+C22</f>
        <v>785600</v>
      </c>
      <c r="D24" s="25" t="n">
        <f aca="false">D23+D22</f>
        <v>659740</v>
      </c>
      <c r="E24" s="25" t="n">
        <f aca="false">E23+E22</f>
        <v>972720</v>
      </c>
      <c r="F24" s="25" t="n">
        <f aca="false">F23+F22</f>
        <v>891420</v>
      </c>
      <c r="G24" s="25" t="n">
        <f aca="false">G23+G22</f>
        <v>789720</v>
      </c>
      <c r="H24" s="25" t="n">
        <f aca="false">H23+H22</f>
        <v>666343.6</v>
      </c>
      <c r="I24" s="25" t="n">
        <f aca="false">I23+I22</f>
        <v>553851.1</v>
      </c>
      <c r="J24" s="25" t="n">
        <f aca="false">J23+J22</f>
        <v>836483.7</v>
      </c>
      <c r="K24" s="25" t="n">
        <f aca="false">K23+K22</f>
        <v>791901.7</v>
      </c>
      <c r="L24" s="25" t="n">
        <f aca="false">L23+L22</f>
        <v>724925.7</v>
      </c>
      <c r="M24" s="25" t="n">
        <f aca="false">M23+M22</f>
        <v>676516</v>
      </c>
      <c r="N24" s="25" t="n">
        <f aca="false">M24</f>
        <v>676516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6" t="s">
        <v>109</v>
      </c>
    </row>
    <row r="2" customFormat="false" ht="15" hidden="false" customHeight="false" outlineLevel="0" collapsed="false">
      <c r="A2" s="7" t="s">
        <v>110</v>
      </c>
    </row>
    <row r="3" customFormat="false" ht="15" hidden="false" customHeight="false" outlineLevel="0" collapsed="false">
      <c r="A3" s="14" t="s">
        <v>111</v>
      </c>
      <c r="B3" s="15" t="s">
        <v>40</v>
      </c>
      <c r="C3" s="15" t="s">
        <v>41</v>
      </c>
      <c r="D3" s="15" t="s">
        <v>42</v>
      </c>
      <c r="E3" s="15" t="s">
        <v>43</v>
      </c>
      <c r="F3" s="15" t="s">
        <v>44</v>
      </c>
      <c r="G3" s="15" t="s">
        <v>45</v>
      </c>
      <c r="H3" s="15" t="s">
        <v>46</v>
      </c>
      <c r="I3" s="15" t="s">
        <v>47</v>
      </c>
      <c r="J3" s="15" t="s">
        <v>48</v>
      </c>
      <c r="K3" s="15" t="s">
        <v>49</v>
      </c>
      <c r="L3" s="15" t="s">
        <v>50</v>
      </c>
      <c r="M3" s="15" t="s">
        <v>51</v>
      </c>
    </row>
    <row r="4" customFormat="false" ht="15" hidden="false" customHeight="false" outlineLevel="0" collapsed="false">
      <c r="A4" s="18" t="s">
        <v>112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customFormat="false" ht="15" hidden="false" customHeight="false" outlineLevel="0" collapsed="false">
      <c r="A5" s="21" t="s">
        <v>113</v>
      </c>
    </row>
    <row r="6" customFormat="false" ht="15" hidden="false" customHeight="false" outlineLevel="0" collapsed="false">
      <c r="A6" s="9" t="s">
        <v>114</v>
      </c>
      <c r="B6" s="20" t="n">
        <f aca="false">'Cash Flow'!B24</f>
        <v>924340</v>
      </c>
      <c r="C6" s="20" t="n">
        <f aca="false">'Cash Flow'!C24</f>
        <v>785600</v>
      </c>
      <c r="D6" s="20" t="n">
        <f aca="false">'Cash Flow'!D24</f>
        <v>659740</v>
      </c>
      <c r="E6" s="20" t="n">
        <f aca="false">'Cash Flow'!E24</f>
        <v>972720</v>
      </c>
      <c r="F6" s="20" t="n">
        <f aca="false">'Cash Flow'!F24</f>
        <v>891420</v>
      </c>
      <c r="G6" s="20" t="n">
        <f aca="false">'Cash Flow'!G24</f>
        <v>789720</v>
      </c>
      <c r="H6" s="20" t="n">
        <f aca="false">'Cash Flow'!H24</f>
        <v>666343.6</v>
      </c>
      <c r="I6" s="20" t="n">
        <f aca="false">'Cash Flow'!I24</f>
        <v>553851.1</v>
      </c>
      <c r="J6" s="20" t="n">
        <f aca="false">'Cash Flow'!J24</f>
        <v>836483.7</v>
      </c>
      <c r="K6" s="20" t="n">
        <f aca="false">'Cash Flow'!K24</f>
        <v>791901.7</v>
      </c>
      <c r="L6" s="20" t="n">
        <f aca="false">'Cash Flow'!L24</f>
        <v>724925.7</v>
      </c>
      <c r="M6" s="20" t="n">
        <f aca="false">'Cash Flow'!M24</f>
        <v>676516</v>
      </c>
    </row>
    <row r="7" customFormat="false" ht="15" hidden="false" customHeight="false" outlineLevel="0" collapsed="false">
      <c r="A7" s="9" t="s">
        <v>115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</row>
    <row r="8" customFormat="false" ht="15" hidden="false" customHeight="false" outlineLevel="0" collapsed="false">
      <c r="A8" s="21" t="s">
        <v>116</v>
      </c>
      <c r="B8" s="22" t="n">
        <f aca="false">B6+B7</f>
        <v>924340</v>
      </c>
      <c r="C8" s="22" t="n">
        <f aca="false">C6+C7</f>
        <v>785600</v>
      </c>
      <c r="D8" s="22" t="n">
        <f aca="false">D6+D7</f>
        <v>659740</v>
      </c>
      <c r="E8" s="22" t="n">
        <f aca="false">E6+E7</f>
        <v>972720</v>
      </c>
      <c r="F8" s="22" t="n">
        <f aca="false">F6+F7</f>
        <v>891420</v>
      </c>
      <c r="G8" s="22" t="n">
        <f aca="false">G6+G7</f>
        <v>789720</v>
      </c>
      <c r="H8" s="22" t="n">
        <f aca="false">H6+H7</f>
        <v>666343.6</v>
      </c>
      <c r="I8" s="22" t="n">
        <f aca="false">I6+I7</f>
        <v>553851.1</v>
      </c>
      <c r="J8" s="22" t="n">
        <f aca="false">J6+J7</f>
        <v>836483.7</v>
      </c>
      <c r="K8" s="22" t="n">
        <f aca="false">K6+K7</f>
        <v>791901.7</v>
      </c>
      <c r="L8" s="22" t="n">
        <f aca="false">L6+L7</f>
        <v>724925.7</v>
      </c>
      <c r="M8" s="22" t="n">
        <f aca="false">M6+M7</f>
        <v>676516</v>
      </c>
    </row>
    <row r="9" customFormat="false" ht="15" hidden="false" customHeight="false" outlineLevel="0" collapsed="false">
      <c r="A9" s="21" t="s">
        <v>117</v>
      </c>
    </row>
    <row r="10" customFormat="false" ht="15" hidden="false" customHeight="false" outlineLevel="0" collapsed="false">
      <c r="A10" s="9" t="s">
        <v>118</v>
      </c>
      <c r="B10" s="20" t="n">
        <f aca="false">Assumptions!$C$16</f>
        <v>150000</v>
      </c>
      <c r="C10" s="20" t="n">
        <f aca="false">Assumptions!$C$16</f>
        <v>150000</v>
      </c>
      <c r="D10" s="20" t="n">
        <f aca="false">Assumptions!$C$16</f>
        <v>150000</v>
      </c>
      <c r="E10" s="20" t="n">
        <f aca="false">Assumptions!$C$16</f>
        <v>150000</v>
      </c>
      <c r="F10" s="20" t="n">
        <f aca="false">Assumptions!$C$16</f>
        <v>150000</v>
      </c>
      <c r="G10" s="20" t="n">
        <f aca="false">Assumptions!$C$16</f>
        <v>150000</v>
      </c>
      <c r="H10" s="20" t="n">
        <f aca="false">Assumptions!$C$16</f>
        <v>150000</v>
      </c>
      <c r="I10" s="20" t="n">
        <f aca="false">Assumptions!$C$16</f>
        <v>150000</v>
      </c>
      <c r="J10" s="20" t="n">
        <f aca="false">Assumptions!$C$16</f>
        <v>150000</v>
      </c>
      <c r="K10" s="20" t="n">
        <f aca="false">Assumptions!$C$16</f>
        <v>150000</v>
      </c>
      <c r="L10" s="20" t="n">
        <f aca="false">Assumptions!$C$16</f>
        <v>150000</v>
      </c>
      <c r="M10" s="20" t="n">
        <f aca="false">Assumptions!$C$16</f>
        <v>150000</v>
      </c>
    </row>
    <row r="11" customFormat="false" ht="15" hidden="false" customHeight="false" outlineLevel="0" collapsed="false">
      <c r="A11" s="9" t="s">
        <v>119</v>
      </c>
      <c r="B11" s="17" t="n">
        <f aca="false">-'Income Statement'!B26</f>
        <v>-4166.66666666667</v>
      </c>
      <c r="C11" s="17" t="n">
        <f aca="false">B11-'Income Statement'!C26</f>
        <v>-8333.33333333333</v>
      </c>
      <c r="D11" s="17" t="n">
        <f aca="false">C11-'Income Statement'!D26</f>
        <v>-12500</v>
      </c>
      <c r="E11" s="17" t="n">
        <f aca="false">D11-'Income Statement'!E26</f>
        <v>-16666.6666666667</v>
      </c>
      <c r="F11" s="17" t="n">
        <f aca="false">E11-'Income Statement'!F26</f>
        <v>-20833.3333333333</v>
      </c>
      <c r="G11" s="17" t="n">
        <f aca="false">F11-'Income Statement'!G26</f>
        <v>-25000</v>
      </c>
      <c r="H11" s="17" t="n">
        <f aca="false">G11-'Income Statement'!H26</f>
        <v>-29166.6666666667</v>
      </c>
      <c r="I11" s="17" t="n">
        <f aca="false">H11-'Income Statement'!I26</f>
        <v>-33333.3333333333</v>
      </c>
      <c r="J11" s="17" t="n">
        <f aca="false">I11-'Income Statement'!J26</f>
        <v>-37500</v>
      </c>
      <c r="K11" s="17" t="n">
        <f aca="false">J11-'Income Statement'!K26</f>
        <v>-41666.6666666667</v>
      </c>
      <c r="L11" s="17" t="n">
        <f aca="false">K11-'Income Statement'!L26</f>
        <v>-45833.3333333333</v>
      </c>
      <c r="M11" s="17" t="n">
        <f aca="false">L11-'Income Statement'!M26</f>
        <v>-50000</v>
      </c>
    </row>
    <row r="12" customFormat="false" ht="15" hidden="false" customHeight="false" outlineLevel="0" collapsed="false">
      <c r="A12" s="9" t="s">
        <v>120</v>
      </c>
      <c r="B12" s="17" t="n">
        <f aca="false">B10+B11</f>
        <v>145833.333333333</v>
      </c>
      <c r="C12" s="17" t="n">
        <f aca="false">C10+C11</f>
        <v>141666.666666667</v>
      </c>
      <c r="D12" s="17" t="n">
        <f aca="false">D10+D11</f>
        <v>137500</v>
      </c>
      <c r="E12" s="17" t="n">
        <f aca="false">E10+E11</f>
        <v>133333.333333333</v>
      </c>
      <c r="F12" s="17" t="n">
        <f aca="false">F10+F11</f>
        <v>129166.666666667</v>
      </c>
      <c r="G12" s="17" t="n">
        <f aca="false">G10+G11</f>
        <v>125000</v>
      </c>
      <c r="H12" s="17" t="n">
        <f aca="false">H10+H11</f>
        <v>120833.333333333</v>
      </c>
      <c r="I12" s="17" t="n">
        <f aca="false">I10+I11</f>
        <v>116666.666666667</v>
      </c>
      <c r="J12" s="17" t="n">
        <f aca="false">J10+J11</f>
        <v>112500</v>
      </c>
      <c r="K12" s="17" t="n">
        <f aca="false">K10+K11</f>
        <v>108333.333333333</v>
      </c>
      <c r="L12" s="17" t="n">
        <f aca="false">L10+L11</f>
        <v>104166.666666667</v>
      </c>
      <c r="M12" s="17" t="n">
        <f aca="false">M10+M11</f>
        <v>100000</v>
      </c>
    </row>
    <row r="13" customFormat="false" ht="15" hidden="false" customHeight="false" outlineLevel="0" collapsed="false">
      <c r="A13" s="9" t="s">
        <v>121</v>
      </c>
      <c r="B13" s="20" t="n">
        <f aca="false">Assumptions!$C$17</f>
        <v>300000</v>
      </c>
      <c r="C13" s="20" t="n">
        <f aca="false">Assumptions!$C$17</f>
        <v>300000</v>
      </c>
      <c r="D13" s="20" t="n">
        <f aca="false">Assumptions!$C$17</f>
        <v>300000</v>
      </c>
      <c r="E13" s="20" t="n">
        <f aca="false">Assumptions!$C$17</f>
        <v>300000</v>
      </c>
      <c r="F13" s="20" t="n">
        <f aca="false">Assumptions!$C$17</f>
        <v>300000</v>
      </c>
      <c r="G13" s="20" t="n">
        <f aca="false">Assumptions!$C$17</f>
        <v>300000</v>
      </c>
      <c r="H13" s="20" t="n">
        <f aca="false">Assumptions!$C$17</f>
        <v>300000</v>
      </c>
      <c r="I13" s="20" t="n">
        <f aca="false">Assumptions!$C$17</f>
        <v>300000</v>
      </c>
      <c r="J13" s="20" t="n">
        <f aca="false">Assumptions!$C$17</f>
        <v>300000</v>
      </c>
      <c r="K13" s="20" t="n">
        <f aca="false">Assumptions!$C$17</f>
        <v>300000</v>
      </c>
      <c r="L13" s="20" t="n">
        <f aca="false">Assumptions!$C$17</f>
        <v>300000</v>
      </c>
      <c r="M13" s="20" t="n">
        <f aca="false">Assumptions!$C$17</f>
        <v>300000</v>
      </c>
    </row>
    <row r="14" customFormat="false" ht="15" hidden="false" customHeight="false" outlineLevel="0" collapsed="false">
      <c r="A14" s="9" t="s">
        <v>122</v>
      </c>
      <c r="B14" s="17" t="n">
        <f aca="false">-'Income Statement'!B27</f>
        <v>-8333.33333333333</v>
      </c>
      <c r="C14" s="17" t="n">
        <f aca="false">B14-'Income Statement'!C27</f>
        <v>-16666.6666666667</v>
      </c>
      <c r="D14" s="17" t="n">
        <f aca="false">C14-'Income Statement'!D27</f>
        <v>-25000</v>
      </c>
      <c r="E14" s="17" t="n">
        <f aca="false">D14-'Income Statement'!E27</f>
        <v>-33333.3333333333</v>
      </c>
      <c r="F14" s="17" t="n">
        <f aca="false">E14-'Income Statement'!F27</f>
        <v>-41666.6666666667</v>
      </c>
      <c r="G14" s="17" t="n">
        <f aca="false">F14-'Income Statement'!G27</f>
        <v>-50000</v>
      </c>
      <c r="H14" s="17" t="n">
        <f aca="false">G14-'Income Statement'!H27</f>
        <v>-58333.3333333333</v>
      </c>
      <c r="I14" s="17" t="n">
        <f aca="false">H14-'Income Statement'!I27</f>
        <v>-66666.6666666667</v>
      </c>
      <c r="J14" s="17" t="n">
        <f aca="false">I14-'Income Statement'!J27</f>
        <v>-75000</v>
      </c>
      <c r="K14" s="17" t="n">
        <f aca="false">J14-'Income Statement'!K27</f>
        <v>-83333.3333333333</v>
      </c>
      <c r="L14" s="17" t="n">
        <f aca="false">K14-'Income Statement'!L27</f>
        <v>-91666.6666666667</v>
      </c>
      <c r="M14" s="17" t="n">
        <f aca="false">L14-'Income Statement'!M27</f>
        <v>-100000</v>
      </c>
    </row>
    <row r="15" customFormat="false" ht="15" hidden="false" customHeight="false" outlineLevel="0" collapsed="false">
      <c r="A15" s="9" t="s">
        <v>123</v>
      </c>
      <c r="B15" s="17" t="n">
        <f aca="false">B13+B14</f>
        <v>291666.666666667</v>
      </c>
      <c r="C15" s="17" t="n">
        <f aca="false">C13+C14</f>
        <v>283333.333333333</v>
      </c>
      <c r="D15" s="17" t="n">
        <f aca="false">D13+D14</f>
        <v>275000</v>
      </c>
      <c r="E15" s="17" t="n">
        <f aca="false">E13+E14</f>
        <v>266666.666666667</v>
      </c>
      <c r="F15" s="17" t="n">
        <f aca="false">F13+F14</f>
        <v>258333.333333333</v>
      </c>
      <c r="G15" s="17" t="n">
        <f aca="false">G13+G14</f>
        <v>250000</v>
      </c>
      <c r="H15" s="17" t="n">
        <f aca="false">H13+H14</f>
        <v>241666.666666667</v>
      </c>
      <c r="I15" s="17" t="n">
        <f aca="false">I13+I14</f>
        <v>233333.333333333</v>
      </c>
      <c r="J15" s="17" t="n">
        <f aca="false">J13+J14</f>
        <v>225000</v>
      </c>
      <c r="K15" s="17" t="n">
        <f aca="false">K13+K14</f>
        <v>216666.666666667</v>
      </c>
      <c r="L15" s="17" t="n">
        <f aca="false">L13+L14</f>
        <v>208333.333333333</v>
      </c>
      <c r="M15" s="17" t="n">
        <f aca="false">M13+M14</f>
        <v>200000</v>
      </c>
    </row>
    <row r="16" customFormat="false" ht="15" hidden="false" customHeight="false" outlineLevel="0" collapsed="false">
      <c r="A16" s="21" t="s">
        <v>124</v>
      </c>
      <c r="B16" s="22" t="n">
        <f aca="false">B12+B15</f>
        <v>437500</v>
      </c>
      <c r="C16" s="22" t="n">
        <f aca="false">C12+C15</f>
        <v>425000</v>
      </c>
      <c r="D16" s="22" t="n">
        <f aca="false">D12+D15</f>
        <v>412500</v>
      </c>
      <c r="E16" s="22" t="n">
        <f aca="false">E12+E15</f>
        <v>400000</v>
      </c>
      <c r="F16" s="22" t="n">
        <f aca="false">F12+F15</f>
        <v>387500</v>
      </c>
      <c r="G16" s="22" t="n">
        <f aca="false">G12+G15</f>
        <v>375000</v>
      </c>
      <c r="H16" s="22" t="n">
        <f aca="false">H12+H15</f>
        <v>362500</v>
      </c>
      <c r="I16" s="22" t="n">
        <f aca="false">I12+I15</f>
        <v>350000</v>
      </c>
      <c r="J16" s="22" t="n">
        <f aca="false">J12+J15</f>
        <v>337500</v>
      </c>
      <c r="K16" s="22" t="n">
        <f aca="false">K12+K15</f>
        <v>325000</v>
      </c>
      <c r="L16" s="22" t="n">
        <f aca="false">L12+L15</f>
        <v>312500</v>
      </c>
      <c r="M16" s="22" t="n">
        <f aca="false">M12+M15</f>
        <v>300000</v>
      </c>
    </row>
    <row r="17" customFormat="false" ht="15" hidden="false" customHeight="false" outlineLevel="0" collapsed="false">
      <c r="A17" s="21" t="s">
        <v>125</v>
      </c>
      <c r="B17" s="25" t="n">
        <f aca="false">B8+B16</f>
        <v>1361840</v>
      </c>
      <c r="C17" s="25" t="n">
        <f aca="false">C8+C16</f>
        <v>1210600</v>
      </c>
      <c r="D17" s="25" t="n">
        <f aca="false">D8+D16</f>
        <v>1072240</v>
      </c>
      <c r="E17" s="25" t="n">
        <f aca="false">E8+E16</f>
        <v>1372720</v>
      </c>
      <c r="F17" s="25" t="n">
        <f aca="false">F8+F16</f>
        <v>1278920</v>
      </c>
      <c r="G17" s="25" t="n">
        <f aca="false">G8+G16</f>
        <v>1164720</v>
      </c>
      <c r="H17" s="25" t="n">
        <f aca="false">H8+H16</f>
        <v>1028843.6</v>
      </c>
      <c r="I17" s="25" t="n">
        <f aca="false">I8+I16</f>
        <v>903851.1</v>
      </c>
      <c r="J17" s="25" t="n">
        <f aca="false">J8+J16</f>
        <v>1173983.7</v>
      </c>
      <c r="K17" s="25" t="n">
        <f aca="false">K8+K16</f>
        <v>1116901.7</v>
      </c>
      <c r="L17" s="25" t="n">
        <f aca="false">L8+L16</f>
        <v>1037425.7</v>
      </c>
      <c r="M17" s="25" t="n">
        <f aca="false">M8+M16</f>
        <v>976516</v>
      </c>
    </row>
    <row r="19" customFormat="false" ht="15" hidden="false" customHeight="false" outlineLevel="0" collapsed="false">
      <c r="A19" s="18" t="s">
        <v>126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customFormat="false" ht="15" hidden="false" customHeight="false" outlineLevel="0" collapsed="false">
      <c r="A20" s="21" t="s">
        <v>127</v>
      </c>
    </row>
    <row r="21" customFormat="false" ht="15" hidden="false" customHeight="false" outlineLevel="0" collapsed="false">
      <c r="A21" s="9" t="s">
        <v>128</v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</row>
    <row r="22" customFormat="false" ht="15" hidden="false" customHeight="false" outlineLevel="0" collapsed="false">
      <c r="A22" s="9" t="s">
        <v>129</v>
      </c>
      <c r="B22" s="17" t="n">
        <f aca="false">('Cash Flow'!B6-'Income Statement'!B6)</f>
        <v>0</v>
      </c>
      <c r="C22" s="17" t="n">
        <f aca="false">B22+('Cash Flow'!C6-'Income Statement'!C6)</f>
        <v>0</v>
      </c>
      <c r="D22" s="17" t="n">
        <f aca="false">C22+('Cash Flow'!D6-'Income Statement'!D6)</f>
        <v>0</v>
      </c>
      <c r="E22" s="17" t="n">
        <f aca="false">D22+('Cash Flow'!E6-'Income Statement'!E6)</f>
        <v>0</v>
      </c>
      <c r="F22" s="17" t="n">
        <f aca="false">E22+('Cash Flow'!F6-'Income Statement'!F6)</f>
        <v>0</v>
      </c>
      <c r="G22" s="17" t="n">
        <f aca="false">F22+('Cash Flow'!G6-'Income Statement'!G6)</f>
        <v>0</v>
      </c>
      <c r="H22" s="17" t="n">
        <f aca="false">G22+('Cash Flow'!H6-'Income Statement'!H6)</f>
        <v>0</v>
      </c>
      <c r="I22" s="17" t="n">
        <f aca="false">H22+('Cash Flow'!I6-'Income Statement'!I6)</f>
        <v>0</v>
      </c>
      <c r="J22" s="17" t="n">
        <f aca="false">I22+('Cash Flow'!J6-'Income Statement'!J6)</f>
        <v>0</v>
      </c>
      <c r="K22" s="17" t="n">
        <f aca="false">J22+('Cash Flow'!K6-'Income Statement'!K6)</f>
        <v>36666.6666666667</v>
      </c>
      <c r="L22" s="17" t="n">
        <f aca="false">K22+('Cash Flow'!L6-'Income Statement'!L6)</f>
        <v>33333.3333333333</v>
      </c>
      <c r="M22" s="17" t="n">
        <f aca="false">L22+('Cash Flow'!M6-'Income Statement'!M6)</f>
        <v>30000</v>
      </c>
    </row>
    <row r="23" customFormat="false" ht="15" hidden="false" customHeight="false" outlineLevel="0" collapsed="false">
      <c r="A23" s="21" t="s">
        <v>130</v>
      </c>
      <c r="B23" s="22" t="n">
        <f aca="false">B21+B22</f>
        <v>0</v>
      </c>
      <c r="C23" s="22" t="n">
        <f aca="false">C21+C22</f>
        <v>0</v>
      </c>
      <c r="D23" s="22" t="n">
        <f aca="false">D21+D22</f>
        <v>0</v>
      </c>
      <c r="E23" s="22" t="n">
        <f aca="false">E21+E22</f>
        <v>0</v>
      </c>
      <c r="F23" s="22" t="n">
        <f aca="false">F21+F22</f>
        <v>0</v>
      </c>
      <c r="G23" s="22" t="n">
        <f aca="false">G21+G22</f>
        <v>0</v>
      </c>
      <c r="H23" s="22" t="n">
        <f aca="false">H21+H22</f>
        <v>0</v>
      </c>
      <c r="I23" s="22" t="n">
        <f aca="false">I21+I22</f>
        <v>0</v>
      </c>
      <c r="J23" s="22" t="n">
        <f aca="false">J21+J22</f>
        <v>0</v>
      </c>
      <c r="K23" s="22" t="n">
        <f aca="false">K21+K22</f>
        <v>36666.6666666667</v>
      </c>
      <c r="L23" s="22" t="n">
        <f aca="false">L21+L22</f>
        <v>33333.3333333333</v>
      </c>
      <c r="M23" s="22" t="n">
        <f aca="false">M21+M22</f>
        <v>30000</v>
      </c>
    </row>
    <row r="25" customFormat="false" ht="15" hidden="false" customHeight="false" outlineLevel="0" collapsed="false">
      <c r="A25" s="18" t="s">
        <v>131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customFormat="false" ht="15" hidden="false" customHeight="false" outlineLevel="0" collapsed="false">
      <c r="A26" s="9" t="s">
        <v>132</v>
      </c>
      <c r="B26" s="17" t="n">
        <f aca="false">'Cash Flow'!B19</f>
        <v>1500000</v>
      </c>
      <c r="C26" s="17" t="n">
        <f aca="false">B26+'Cash Flow'!C19</f>
        <v>1500000</v>
      </c>
      <c r="D26" s="17" t="n">
        <f aca="false">C26+'Cash Flow'!D19</f>
        <v>1500000</v>
      </c>
      <c r="E26" s="17" t="n">
        <f aca="false">D26+'Cash Flow'!E19</f>
        <v>1500000</v>
      </c>
      <c r="F26" s="17" t="n">
        <f aca="false">E26+'Cash Flow'!F19</f>
        <v>1500000</v>
      </c>
      <c r="G26" s="17" t="n">
        <f aca="false">F26+'Cash Flow'!G19</f>
        <v>1500000</v>
      </c>
      <c r="H26" s="17" t="n">
        <f aca="false">G26+'Cash Flow'!H19</f>
        <v>1500000</v>
      </c>
      <c r="I26" s="17" t="n">
        <f aca="false">H26+'Cash Flow'!I19</f>
        <v>1500000</v>
      </c>
      <c r="J26" s="17" t="n">
        <f aca="false">I26+'Cash Flow'!J19</f>
        <v>1500000</v>
      </c>
      <c r="K26" s="17" t="n">
        <f aca="false">J26+'Cash Flow'!K19</f>
        <v>1500000</v>
      </c>
      <c r="L26" s="17" t="n">
        <f aca="false">K26+'Cash Flow'!L19</f>
        <v>1500000</v>
      </c>
      <c r="M26" s="17" t="n">
        <f aca="false">L26+'Cash Flow'!M19</f>
        <v>1500000</v>
      </c>
    </row>
    <row r="27" customFormat="false" ht="15" hidden="false" customHeight="false" outlineLevel="0" collapsed="false">
      <c r="A27" s="9" t="s">
        <v>133</v>
      </c>
      <c r="B27" s="17" t="n">
        <f aca="false">'Income Statement'!B35</f>
        <v>-138160</v>
      </c>
      <c r="C27" s="17" t="n">
        <f aca="false">B27+'Income Statement'!C35</f>
        <v>-289400</v>
      </c>
      <c r="D27" s="17" t="n">
        <f aca="false">C27+'Income Statement'!D35</f>
        <v>-427760</v>
      </c>
      <c r="E27" s="17" t="n">
        <f aca="false">D27+'Income Statement'!E35</f>
        <v>-127280</v>
      </c>
      <c r="F27" s="17" t="n">
        <f aca="false">E27+'Income Statement'!F35</f>
        <v>-221080</v>
      </c>
      <c r="G27" s="17" t="n">
        <f aca="false">F27+'Income Statement'!G35</f>
        <v>-335280</v>
      </c>
      <c r="H27" s="17" t="n">
        <f aca="false">G27+'Income Statement'!H35</f>
        <v>-471156.4</v>
      </c>
      <c r="I27" s="17" t="n">
        <f aca="false">H27+'Income Statement'!I35</f>
        <v>-596148.9</v>
      </c>
      <c r="J27" s="17" t="n">
        <f aca="false">I27+'Income Statement'!J35</f>
        <v>-326016.3</v>
      </c>
      <c r="K27" s="17" t="n">
        <f aca="false">J27+'Income Statement'!K35</f>
        <v>-419764.966666667</v>
      </c>
      <c r="L27" s="17" t="n">
        <f aca="false">K27+'Income Statement'!L35</f>
        <v>-495907.633333333</v>
      </c>
      <c r="M27" s="17" t="n">
        <f aca="false">L27+'Income Statement'!M35</f>
        <v>-553484</v>
      </c>
    </row>
    <row r="28" customFormat="false" ht="15" hidden="false" customHeight="false" outlineLevel="0" collapsed="false">
      <c r="A28" s="21" t="s">
        <v>134</v>
      </c>
      <c r="B28" s="22" t="n">
        <f aca="false">B26+B27</f>
        <v>1361840</v>
      </c>
      <c r="C28" s="22" t="n">
        <f aca="false">C26+C27</f>
        <v>1210600</v>
      </c>
      <c r="D28" s="22" t="n">
        <f aca="false">D26+D27</f>
        <v>1072240</v>
      </c>
      <c r="E28" s="22" t="n">
        <f aca="false">E26+E27</f>
        <v>1372720</v>
      </c>
      <c r="F28" s="22" t="n">
        <f aca="false">F26+F27</f>
        <v>1278920</v>
      </c>
      <c r="G28" s="22" t="n">
        <f aca="false">G26+G27</f>
        <v>1164720</v>
      </c>
      <c r="H28" s="22" t="n">
        <f aca="false">H26+H27</f>
        <v>1028843.6</v>
      </c>
      <c r="I28" s="22" t="n">
        <f aca="false">I26+I27</f>
        <v>903851.1</v>
      </c>
      <c r="J28" s="22" t="n">
        <f aca="false">J26+J27</f>
        <v>1173983.7</v>
      </c>
      <c r="K28" s="22" t="n">
        <f aca="false">K26+K27</f>
        <v>1080235.03333333</v>
      </c>
      <c r="L28" s="22" t="n">
        <f aca="false">L26+L27</f>
        <v>1004092.36666667</v>
      </c>
      <c r="M28" s="22" t="n">
        <f aca="false">M26+M27</f>
        <v>946516</v>
      </c>
    </row>
    <row r="29" customFormat="false" ht="15" hidden="false" customHeight="false" outlineLevel="0" collapsed="false">
      <c r="A29" s="21" t="s">
        <v>135</v>
      </c>
      <c r="B29" s="25" t="n">
        <f aca="false">B23+B28</f>
        <v>1361840</v>
      </c>
      <c r="C29" s="25" t="n">
        <f aca="false">C23+C28</f>
        <v>1210600</v>
      </c>
      <c r="D29" s="25" t="n">
        <f aca="false">D23+D28</f>
        <v>1072240</v>
      </c>
      <c r="E29" s="25" t="n">
        <f aca="false">E23+E28</f>
        <v>1372720</v>
      </c>
      <c r="F29" s="25" t="n">
        <f aca="false">F23+F28</f>
        <v>1278920</v>
      </c>
      <c r="G29" s="25" t="n">
        <f aca="false">G23+G28</f>
        <v>1164720</v>
      </c>
      <c r="H29" s="25" t="n">
        <f aca="false">H23+H28</f>
        <v>1028843.6</v>
      </c>
      <c r="I29" s="25" t="n">
        <f aca="false">I23+I28</f>
        <v>903851.1</v>
      </c>
      <c r="J29" s="25" t="n">
        <f aca="false">J23+J28</f>
        <v>1173983.7</v>
      </c>
      <c r="K29" s="25" t="n">
        <f aca="false">K23+K28</f>
        <v>1116901.7</v>
      </c>
      <c r="L29" s="25" t="n">
        <f aca="false">L23+L28</f>
        <v>1037425.7</v>
      </c>
      <c r="M29" s="25" t="n">
        <f aca="false">M23+M28</f>
        <v>976516</v>
      </c>
    </row>
    <row r="31" customFormat="false" ht="15" hidden="false" customHeight="false" outlineLevel="0" collapsed="false">
      <c r="A31" s="26" t="s">
        <v>136</v>
      </c>
      <c r="B31" s="27" t="n">
        <f aca="false">B17-B29</f>
        <v>0</v>
      </c>
      <c r="C31" s="27" t="n">
        <f aca="false">C17-C29</f>
        <v>0</v>
      </c>
      <c r="D31" s="27" t="n">
        <f aca="false">D17-D29</f>
        <v>0</v>
      </c>
      <c r="E31" s="27" t="n">
        <f aca="false">E17-E29</f>
        <v>0</v>
      </c>
      <c r="F31" s="27" t="n">
        <f aca="false">F17-F29</f>
        <v>0</v>
      </c>
      <c r="G31" s="27" t="n">
        <f aca="false">G17-G29</f>
        <v>0</v>
      </c>
      <c r="H31" s="27" t="n">
        <f aca="false">H17-H29</f>
        <v>0</v>
      </c>
      <c r="I31" s="27" t="n">
        <f aca="false">I17-I29</f>
        <v>0</v>
      </c>
      <c r="J31" s="27" t="n">
        <f aca="false">J17-J29</f>
        <v>0</v>
      </c>
      <c r="K31" s="27" t="n">
        <f aca="false">K17-K29</f>
        <v>0</v>
      </c>
      <c r="L31" s="27" t="n">
        <f aca="false">L17-L29</f>
        <v>0</v>
      </c>
      <c r="M31" s="27" t="n">
        <f aca="false">M17-M29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2026-06-20T10:37:10Z</dcterms:created>
  <dc:creator>openpyxl</dc:creator>
  <dc:description/>
  <dc:language>en-US</dc:language>
  <cp:lastModifiedBy/>
  <dcterms:modified xsi:type="dcterms:W3CDTF">2026-06-20T10:37:11Z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